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enta\Downloads\"/>
    </mc:Choice>
  </mc:AlternateContent>
  <xr:revisionPtr revIDLastSave="0" documentId="8_{C53864DA-3203-4AEB-989C-13374D3D7549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U41" i="1" l="1"/>
  <c r="U46" i="1"/>
  <c r="U42" i="1"/>
  <c r="U40" i="1"/>
  <c r="Z40" i="1" s="1"/>
  <c r="U39" i="1"/>
  <c r="V39" i="1" s="1"/>
  <c r="Z39" i="1" s="1"/>
  <c r="U38" i="1"/>
  <c r="U37" i="1"/>
  <c r="U36" i="1"/>
  <c r="Z46" i="1"/>
  <c r="V45" i="1"/>
  <c r="Z45" i="1" s="1"/>
  <c r="U44" i="1"/>
  <c r="V44" i="1" s="1"/>
  <c r="Z44" i="1" s="1"/>
  <c r="V43" i="1"/>
  <c r="Z43" i="1" s="1"/>
  <c r="V42" i="1"/>
  <c r="Z42" i="1" s="1"/>
  <c r="Z41" i="1"/>
  <c r="Z38" i="1"/>
  <c r="Z37" i="1"/>
  <c r="Z36" i="1"/>
  <c r="V35" i="1"/>
  <c r="Z35" i="1" s="1"/>
  <c r="V34" i="1"/>
  <c r="Z34" i="1" s="1"/>
  <c r="Z23" i="1"/>
  <c r="U23" i="1"/>
  <c r="Z22" i="1"/>
  <c r="V10" i="1"/>
  <c r="Z10" i="1" s="1"/>
  <c r="V19" i="1"/>
  <c r="Z19" i="1" s="1"/>
  <c r="V20" i="1"/>
  <c r="Z20" i="1" s="1"/>
  <c r="V21" i="1"/>
  <c r="Z21" i="1" s="1"/>
  <c r="V9" i="1"/>
  <c r="Z9" i="1" s="1"/>
  <c r="N75" i="1"/>
  <c r="C7" i="1"/>
  <c r="U18" i="1" s="1"/>
  <c r="V18" i="1" s="1"/>
  <c r="Z18" i="1" s="1"/>
  <c r="U14" i="1"/>
  <c r="V14" i="1" s="1"/>
  <c r="Z14" i="1" s="1"/>
  <c r="K56" i="1"/>
  <c r="L56" i="1" s="1"/>
  <c r="U20" i="1"/>
  <c r="N117" i="1"/>
  <c r="K3" i="1"/>
  <c r="G112" i="1"/>
  <c r="J3" i="1"/>
  <c r="I111" i="1"/>
  <c r="N110" i="1"/>
  <c r="I3" i="1"/>
  <c r="U13" i="1"/>
  <c r="V13" i="1" s="1"/>
  <c r="Z13" i="1" s="1"/>
  <c r="J105" i="1"/>
  <c r="I105" i="1"/>
  <c r="C105" i="1"/>
  <c r="D105" i="1" s="1"/>
  <c r="E105" i="1" s="1"/>
  <c r="J99" i="1"/>
  <c r="K100" i="1" s="1"/>
  <c r="L100" i="1" s="1"/>
  <c r="K98" i="1"/>
  <c r="L98" i="1"/>
  <c r="C98" i="1"/>
  <c r="K97" i="1"/>
  <c r="L97" i="1"/>
  <c r="K96" i="1"/>
  <c r="L96" i="1" s="1"/>
  <c r="C96" i="1"/>
  <c r="D96" i="1" s="1"/>
  <c r="E96" i="1" s="1"/>
  <c r="K95" i="1"/>
  <c r="L95" i="1"/>
  <c r="C95" i="1"/>
  <c r="D101" i="1" s="1"/>
  <c r="E101" i="1" s="1"/>
  <c r="K94" i="1"/>
  <c r="L94" i="1"/>
  <c r="D94" i="1"/>
  <c r="E94" i="1"/>
  <c r="J90" i="1"/>
  <c r="I90" i="1"/>
  <c r="U22" i="1" s="1"/>
  <c r="L88" i="1"/>
  <c r="C87" i="1"/>
  <c r="J74" i="1"/>
  <c r="K78" i="1" s="1"/>
  <c r="L78" i="1" s="1"/>
  <c r="C74" i="1"/>
  <c r="J68" i="1"/>
  <c r="I68" i="1"/>
  <c r="C65" i="1"/>
  <c r="D66" i="1" s="1"/>
  <c r="E66" i="1" s="1"/>
  <c r="J64" i="1"/>
  <c r="D64" i="1"/>
  <c r="E64" i="1"/>
  <c r="D63" i="1"/>
  <c r="E63" i="1"/>
  <c r="D62" i="1"/>
  <c r="E62" i="1"/>
  <c r="D61" i="1"/>
  <c r="E61" i="1"/>
  <c r="J60" i="1"/>
  <c r="D60" i="1"/>
  <c r="E60" i="1"/>
  <c r="D59" i="1"/>
  <c r="E59" i="1"/>
  <c r="D58" i="1"/>
  <c r="E58" i="1"/>
  <c r="J57" i="1"/>
  <c r="K63" i="1" s="1"/>
  <c r="L63" i="1" s="1"/>
  <c r="D57" i="1"/>
  <c r="E57" i="1"/>
  <c r="D56" i="1"/>
  <c r="E56" i="1"/>
  <c r="K55" i="1"/>
  <c r="L55" i="1"/>
  <c r="D55" i="1"/>
  <c r="E55" i="1"/>
  <c r="K54" i="1"/>
  <c r="L54" i="1"/>
  <c r="D54" i="1"/>
  <c r="E54" i="1"/>
  <c r="K53" i="1"/>
  <c r="L53" i="1"/>
  <c r="D53" i="1"/>
  <c r="E53" i="1"/>
  <c r="J47" i="1"/>
  <c r="I47" i="1"/>
  <c r="C44" i="1"/>
  <c r="D45" i="1" s="1"/>
  <c r="E45" i="1" s="1"/>
  <c r="J43" i="1"/>
  <c r="D43" i="1"/>
  <c r="E43" i="1"/>
  <c r="D42" i="1"/>
  <c r="E42" i="1"/>
  <c r="D41" i="1"/>
  <c r="E41" i="1"/>
  <c r="D40" i="1"/>
  <c r="E40" i="1"/>
  <c r="J39" i="1"/>
  <c r="D39" i="1"/>
  <c r="E39" i="1"/>
  <c r="D38" i="1"/>
  <c r="E38" i="1"/>
  <c r="D37" i="1"/>
  <c r="E37" i="1"/>
  <c r="J36" i="1"/>
  <c r="K44" i="1" s="1"/>
  <c r="L44" i="1" s="1"/>
  <c r="D36" i="1"/>
  <c r="E36" i="1"/>
  <c r="D35" i="1"/>
  <c r="E35" i="1"/>
  <c r="J34" i="1"/>
  <c r="D34" i="1"/>
  <c r="E34" i="1"/>
  <c r="K33" i="1"/>
  <c r="L33" i="1" s="1"/>
  <c r="D33" i="1"/>
  <c r="E33" i="1"/>
  <c r="K32" i="1"/>
  <c r="L32" i="1"/>
  <c r="D32" i="1"/>
  <c r="E32" i="1"/>
  <c r="J24" i="1"/>
  <c r="I24" i="1"/>
  <c r="E3" i="1" s="1"/>
  <c r="U15" i="1" s="1"/>
  <c r="V15" i="1" s="1"/>
  <c r="Z15" i="1" s="1"/>
  <c r="D24" i="1"/>
  <c r="E24" i="1"/>
  <c r="D23" i="1"/>
  <c r="E23" i="1" s="1"/>
  <c r="D22" i="1"/>
  <c r="E22" i="1" s="1"/>
  <c r="D21" i="1"/>
  <c r="E21" i="1" s="1"/>
  <c r="K20" i="1"/>
  <c r="L20" i="1"/>
  <c r="D20" i="1"/>
  <c r="E20" i="1"/>
  <c r="K19" i="1"/>
  <c r="L19" i="1"/>
  <c r="D19" i="1"/>
  <c r="E19" i="1"/>
  <c r="K18" i="1"/>
  <c r="L18" i="1"/>
  <c r="D18" i="1"/>
  <c r="E18" i="1" s="1"/>
  <c r="K17" i="1"/>
  <c r="L17" i="1"/>
  <c r="D17" i="1"/>
  <c r="E17" i="1" s="1"/>
  <c r="K16" i="1"/>
  <c r="L16" i="1"/>
  <c r="D16" i="1"/>
  <c r="E16" i="1"/>
  <c r="K15" i="1"/>
  <c r="L15" i="1"/>
  <c r="D15" i="1"/>
  <c r="E15" i="1"/>
  <c r="K14" i="1"/>
  <c r="L14" i="1"/>
  <c r="D14" i="1"/>
  <c r="E14" i="1" s="1"/>
  <c r="K13" i="1"/>
  <c r="L13" i="1"/>
  <c r="D13" i="1"/>
  <c r="E13" i="1" s="1"/>
  <c r="K12" i="1"/>
  <c r="L12" i="1"/>
  <c r="D12" i="1"/>
  <c r="E12" i="1"/>
  <c r="K11" i="1"/>
  <c r="L11" i="1"/>
  <c r="D11" i="1"/>
  <c r="E11" i="1"/>
  <c r="D3" i="1"/>
  <c r="K35" i="1"/>
  <c r="L35" i="1" s="1"/>
  <c r="K34" i="1"/>
  <c r="L34" i="1"/>
  <c r="D44" i="1"/>
  <c r="E44" i="1" s="1"/>
  <c r="D78" i="1"/>
  <c r="E78" i="1"/>
  <c r="D77" i="1"/>
  <c r="E77" i="1"/>
  <c r="D76" i="1"/>
  <c r="E76" i="1"/>
  <c r="D75" i="1"/>
  <c r="E75" i="1"/>
  <c r="D74" i="1"/>
  <c r="E74" i="1" s="1"/>
  <c r="K77" i="1"/>
  <c r="L77" i="1"/>
  <c r="K75" i="1"/>
  <c r="L75" i="1"/>
  <c r="K74" i="1"/>
  <c r="L74" i="1"/>
  <c r="D103" i="1"/>
  <c r="E103" i="1"/>
  <c r="D102" i="1"/>
  <c r="E102" i="1"/>
  <c r="D95" i="1"/>
  <c r="E95" i="1"/>
  <c r="Z48" i="1" l="1"/>
  <c r="K43" i="1"/>
  <c r="L43" i="1" s="1"/>
  <c r="K37" i="1"/>
  <c r="L37" i="1" s="1"/>
  <c r="G3" i="1"/>
  <c r="D104" i="1"/>
  <c r="E104" i="1" s="1"/>
  <c r="K38" i="1"/>
  <c r="L38" i="1" s="1"/>
  <c r="K57" i="1"/>
  <c r="L57" i="1" s="1"/>
  <c r="K101" i="1"/>
  <c r="L101" i="1" s="1"/>
  <c r="K58" i="1"/>
  <c r="L58" i="1" s="1"/>
  <c r="D98" i="1"/>
  <c r="E98" i="1" s="1"/>
  <c r="K79" i="1"/>
  <c r="J80" i="1" s="1"/>
  <c r="K85" i="1" s="1"/>
  <c r="K59" i="1"/>
  <c r="L59" i="1" s="1"/>
  <c r="K60" i="1"/>
  <c r="L60" i="1" s="1"/>
  <c r="K81" i="1"/>
  <c r="L81" i="1" s="1"/>
  <c r="K80" i="1"/>
  <c r="L80" i="1" s="1"/>
  <c r="G24" i="1"/>
  <c r="K64" i="1"/>
  <c r="L64" i="1" s="1"/>
  <c r="K65" i="1"/>
  <c r="L65" i="1" s="1"/>
  <c r="K40" i="1"/>
  <c r="L40" i="1" s="1"/>
  <c r="D99" i="1"/>
  <c r="E99" i="1" s="1"/>
  <c r="K76" i="1"/>
  <c r="L76" i="1" s="1"/>
  <c r="D79" i="1"/>
  <c r="K61" i="1"/>
  <c r="L61" i="1" s="1"/>
  <c r="G66" i="1" s="1"/>
  <c r="K41" i="1"/>
  <c r="L41" i="1" s="1"/>
  <c r="D97" i="1"/>
  <c r="E97" i="1" s="1"/>
  <c r="G105" i="1" s="1"/>
  <c r="K39" i="1"/>
  <c r="L39" i="1" s="1"/>
  <c r="K42" i="1"/>
  <c r="L42" i="1" s="1"/>
  <c r="K36" i="1"/>
  <c r="L36" i="1" s="1"/>
  <c r="U12" i="1"/>
  <c r="V12" i="1" s="1"/>
  <c r="Z12" i="1" s="1"/>
  <c r="K99" i="1"/>
  <c r="L99" i="1" s="1"/>
  <c r="D100" i="1"/>
  <c r="E100" i="1" s="1"/>
  <c r="D65" i="1"/>
  <c r="E65" i="1" s="1"/>
  <c r="K62" i="1"/>
  <c r="L62" i="1" s="1"/>
  <c r="U11" i="1"/>
  <c r="V11" i="1" s="1"/>
  <c r="Z11" i="1" s="1"/>
  <c r="K82" i="1" l="1"/>
  <c r="L82" i="1" s="1"/>
  <c r="K83" i="1"/>
  <c r="L83" i="1" s="1"/>
  <c r="G45" i="1"/>
  <c r="K84" i="1"/>
  <c r="L84" i="1" s="1"/>
  <c r="L79" i="1"/>
  <c r="C3" i="1"/>
  <c r="J86" i="1"/>
  <c r="K86" i="1" s="1"/>
  <c r="L85" i="1"/>
  <c r="C80" i="1"/>
  <c r="E79" i="1"/>
  <c r="D83" i="1" l="1"/>
  <c r="E83" i="1" s="1"/>
  <c r="D82" i="1"/>
  <c r="E82" i="1" s="1"/>
  <c r="D81" i="1"/>
  <c r="E81" i="1" s="1"/>
  <c r="D80" i="1"/>
  <c r="E80" i="1" s="1"/>
  <c r="D85" i="1"/>
  <c r="D84" i="1"/>
  <c r="E84" i="1" s="1"/>
  <c r="U16" i="1"/>
  <c r="V16" i="1" s="1"/>
  <c r="Z16" i="1" s="1"/>
  <c r="L86" i="1"/>
  <c r="J87" i="1"/>
  <c r="K87" i="1" s="1"/>
  <c r="L87" i="1" s="1"/>
  <c r="C86" i="1" l="1"/>
  <c r="E85" i="1"/>
  <c r="D86" i="1" l="1"/>
  <c r="E86" i="1" s="1"/>
  <c r="D87" i="1"/>
  <c r="C88" i="1" l="1"/>
  <c r="D88" i="1" s="1"/>
  <c r="E88" i="1" s="1"/>
  <c r="E87" i="1"/>
  <c r="G88" i="1" l="1"/>
  <c r="C5" i="1" s="1"/>
  <c r="U17" i="1" l="1"/>
  <c r="V17" i="1" s="1"/>
  <c r="Z17" i="1" s="1"/>
  <c r="Z25" i="1" s="1"/>
</calcChain>
</file>

<file path=xl/sharedStrings.xml><?xml version="1.0" encoding="utf-8"?>
<sst xmlns="http://schemas.openxmlformats.org/spreadsheetml/2006/main" count="402" uniqueCount="239">
  <si>
    <t>Kabellänge E, 1, 2, 4</t>
  </si>
  <si>
    <t>Steckplätze:</t>
  </si>
  <si>
    <t>Doppeldosen:</t>
  </si>
  <si>
    <t>Einzeldosen:</t>
  </si>
  <si>
    <t>Kabelkanäle Senkrecht</t>
  </si>
  <si>
    <t>Kabelkanäle Wagrecht Wand</t>
  </si>
  <si>
    <t>Deckenkanäle</t>
  </si>
  <si>
    <t>Kabellänge 3</t>
  </si>
  <si>
    <t>Kabellänge zwischen Switches</t>
  </si>
  <si>
    <t>Plan: Teuer</t>
  </si>
  <si>
    <t>Erdgeschoss</t>
  </si>
  <si>
    <t>Bezeichnung</t>
  </si>
  <si>
    <t>Menge automatisch</t>
  </si>
  <si>
    <t>Wahre Menge</t>
  </si>
  <si>
    <t>Preis (Netto)</t>
  </si>
  <si>
    <t>Link</t>
  </si>
  <si>
    <t>Daten</t>
  </si>
  <si>
    <t>Preis (total)</t>
  </si>
  <si>
    <t>https://www.omg.de/ubiquiti-networks/unifi/unifi-switch/usw-24-poe_21544_4061</t>
  </si>
  <si>
    <t>Linke Seite:</t>
  </si>
  <si>
    <t>Rechte Seite</t>
  </si>
  <si>
    <t>Core Switch</t>
  </si>
  <si>
    <t>https://www.omg.de/ubiquiti-networks/unifi/unifi-switch/ubiquiti-unifi-switch-enterprise-xg-24-usw-enterprisexg-24_25613_5084</t>
  </si>
  <si>
    <t>USW-EnterpriseXG-24, Full managed Layer 3 Switch + Unifi Controller, (24) 100/1,000/2,500/5,000/10,000 Mbps RJ45 Ethernet, (2) 1/10/25 Gbps SFP28, 580 Gbps Switching Capacity</t>
  </si>
  <si>
    <t>https://www.conrad.at/de/p/heidemann-09823-bruestungskanal-b-x-h-x-t-2000-x-130-x-65-mm-1-st-reinweiss-365186.html</t>
  </si>
  <si>
    <t>ID</t>
  </si>
  <si>
    <t>Buchse</t>
  </si>
  <si>
    <t>Länge von letze Buchse</t>
  </si>
  <si>
    <t>Gesamtlänge</t>
  </si>
  <si>
    <t>Summe</t>
  </si>
  <si>
    <t>Länge von Letze Buchse:</t>
  </si>
  <si>
    <t>Normaler Switch POE+</t>
  </si>
  <si>
    <t>24xGB RJ45 mit POE+, 2xSFP-Uplinks, Lüfterlos, UniFi Network Integration</t>
  </si>
  <si>
    <t>https://at.rs-online.com/web/p/kabelrinnen/9013998</t>
  </si>
  <si>
    <t>S0R0B0</t>
  </si>
  <si>
    <t>S0R2B1-2</t>
  </si>
  <si>
    <t>Kabelkanal Wand (2m)</t>
  </si>
  <si>
    <t>Innenteil: 80 mm, Reinweiß</t>
  </si>
  <si>
    <t>https://www.obi.at/p/9806126/kabelkanal-40-mm-x-40-mm-weiss-laenge-2-m</t>
  </si>
  <si>
    <t>S0R1B1-2</t>
  </si>
  <si>
    <t>S0R2B0</t>
  </si>
  <si>
    <t>Kabelkanal Decke (3m)</t>
  </si>
  <si>
    <t xml:space="preserve">Selbstkuppelnde Kabelrinne (leichte Ausführung), Länge: 3m, Breite : 300mm, Tiefe: 60mm </t>
  </si>
  <si>
    <t>https://www.omg.de/ubiquiti-networks/unifi/unifi-access-point/ubiquiti-unifi-7-professional-u7-pro_28529_5827</t>
  </si>
  <si>
    <t>S0R1B3-4</t>
  </si>
  <si>
    <t>S0R2B3-6</t>
  </si>
  <si>
    <t>Kablekanal Senkrecht (2m)</t>
  </si>
  <si>
    <t>Höhe: 2m, Breite: 4cm, Tiefe: 4cm</t>
  </si>
  <si>
    <t>S0R1B9-16</t>
  </si>
  <si>
    <t>S0R2B7-8/S0R0B1-2</t>
  </si>
  <si>
    <t>Access Points</t>
  </si>
  <si>
    <t>WiFi 7 Access Point, bis zu 9.3 Gbit/s, 2.5 GbE Uplink, 140m^2 Abdeckung</t>
  </si>
  <si>
    <t>https://www.reichelt.at/at/de/shop/produkt/netzwerkkabel_cat_6a_u_ftp_500_mhz_305_m-394520</t>
  </si>
  <si>
    <t>S0R1B0</t>
  </si>
  <si>
    <t>S0R3B1-2</t>
  </si>
  <si>
    <t>Cat6a Netzwerkdose</t>
  </si>
  <si>
    <t>https://www.reichelt.at/at/de/shop/produkt/cat_6a_netzwerkdose_2-fach_unterputz_rj45_lsa_-362725#open-modal-shipping</t>
  </si>
  <si>
    <t>Anschlussdose, unbestückt, für 2 Module, Aufbau: Unterputz</t>
  </si>
  <si>
    <t>https://www.reichelt.at/at/de/shop/produkt/cat-7_verlegekabel_stp-pimf_500m-37308</t>
  </si>
  <si>
    <t>S0R1B7-8</t>
  </si>
  <si>
    <t>24 (16 PoE+; 8 PoE+</t>
  </si>
  <si>
    <t>S0R3B0</t>
  </si>
  <si>
    <t>cat6a Kabel (305m)</t>
  </si>
  <si>
    <t>10GBit Ethernet, 500MHz Übertragungsfrequenz, PoE Support, BauPVO Klasse Eca</t>
  </si>
  <si>
    <t>https://www.reichelt.at/at/de/shop/produkt/verlegekabel_cat_7a_halogenfrei_100_m-296611</t>
  </si>
  <si>
    <t>S0R1B5-6</t>
  </si>
  <si>
    <t>S0R3B3-4</t>
  </si>
  <si>
    <t>cat7 Kabel (500m)</t>
  </si>
  <si>
    <t>4x2 AWG23/1 Cu-massiv, PiMF, 1000MHz</t>
  </si>
  <si>
    <t>https://www.reichelt.at/at/de/shop/produkt/stecker_set_kabel_bis_awg_23_blau_10_stk_-198609</t>
  </si>
  <si>
    <t>S0R0B3-4</t>
  </si>
  <si>
    <t>S0R3B5-12</t>
  </si>
  <si>
    <t>cat7a Kabel (100m)</t>
  </si>
  <si>
    <t>S/FTP PiMF, AWG23/1, Halogenfrei, 1000MHz</t>
  </si>
  <si>
    <t>S0R4B15-16</t>
  </si>
  <si>
    <t>S0R3B12-13</t>
  </si>
  <si>
    <t>Serverschrank</t>
  </si>
  <si>
    <t>https://www.omg.de/netzwerk/netzwerk-und-serverschraenke/omg-serverschrank-42-he-19-glastuer-800-x-1000-x-2000mm_29030_6002</t>
  </si>
  <si>
    <t>Dach mit Lüftungsgittern für passive Belüftung oder für Montage von Aktiv-Lüftereinheiten mit bis zu 6 Ventilatoren</t>
  </si>
  <si>
    <t>S0R4B13-14</t>
  </si>
  <si>
    <t>S0R3B14-15</t>
  </si>
  <si>
    <t>Patchpanel</t>
  </si>
  <si>
    <t>https://www.conrad.at/de/p/digitus-digitus-24-port-netzwerk-patchpanel-483-mm-19-cat-6a-cat-6a-rohkabel-cat-7-1-he-schwarz-bestueckt-1909710.html</t>
  </si>
  <si>
    <t>Cat 6a + 7, 10Gbit/s, 1 HE</t>
  </si>
  <si>
    <t>S0R4B5-12</t>
  </si>
  <si>
    <t>APs:</t>
  </si>
  <si>
    <t>Serverschrank klein</t>
  </si>
  <si>
    <t>https://www.omg.de/netzwerk/netzwerk-und-serverschraenke/omg-serverschrank-15-he-wandgehaeuse-600-x-600-x-770mm_29037_6013</t>
  </si>
  <si>
    <t>Dach mit Passivlüftung und vorbereiteten Öffnungen für aktive Lüfter + Kabeleinführung</t>
  </si>
  <si>
    <t>S0R4B0</t>
  </si>
  <si>
    <t>CAT 7 netzwerkdose</t>
  </si>
  <si>
    <t>https://www.reichelt.at/at/de/shop/produkt/unterputz_rj45-dose_2-fach-400593?PROVID=2807&amp;gad_source=1&amp;gad_campaignid=20706797224&amp;gclid=Cj0KCQiAiqDJBhCXARIsABk2kSmDGNZQFtL0i7oDVEG4kzMF0MMbTEpDu5XwpGqdUuu677Sjx8AOhVIaAodLEALw_wcB</t>
  </si>
  <si>
    <t>Unterputz, RJ45-Dose, 2-fach</t>
  </si>
  <si>
    <t>S0R4B3-4</t>
  </si>
  <si>
    <t xml:space="preserve">Gesamt: </t>
  </si>
  <si>
    <t>Doppeldosen Stock1:</t>
  </si>
  <si>
    <t>Einzel dosen Stock1:</t>
  </si>
  <si>
    <t>Stecker</t>
  </si>
  <si>
    <t>Stecker SET Kabel bis AWG 23, blau, 10 Stk.</t>
  </si>
  <si>
    <t>S0R4B1-2</t>
  </si>
  <si>
    <t>------------------------------------</t>
  </si>
  <si>
    <t>1 Etage</t>
  </si>
  <si>
    <t>S1R0B0</t>
  </si>
  <si>
    <t>S1R2B15-16</t>
  </si>
  <si>
    <t>S1R1B9-10</t>
  </si>
  <si>
    <t>S1R2B13-14</t>
  </si>
  <si>
    <t>S1R1B11-12</t>
  </si>
  <si>
    <t>S1R2B1-8</t>
  </si>
  <si>
    <t>S1R1B1-8</t>
  </si>
  <si>
    <t>S1R2B0</t>
  </si>
  <si>
    <t>S1R1B0</t>
  </si>
  <si>
    <t>S1R2B9-10</t>
  </si>
  <si>
    <t>S1R1B15-16</t>
  </si>
  <si>
    <t>S1R2B11-12</t>
  </si>
  <si>
    <t>S1R1B13-14</t>
  </si>
  <si>
    <t>S1R0B1-2</t>
  </si>
  <si>
    <t>S1R0B3-4</t>
  </si>
  <si>
    <t>S1R3B1-2</t>
  </si>
  <si>
    <t>S1R4B7-8</t>
  </si>
  <si>
    <t>S1R3B3-4</t>
  </si>
  <si>
    <t>S1R4B5-6</t>
  </si>
  <si>
    <t>S1R3B5-13</t>
  </si>
  <si>
    <t>S1R4B5-12</t>
  </si>
  <si>
    <t>S1R3B0</t>
  </si>
  <si>
    <t>S1R4B0</t>
  </si>
  <si>
    <t>S1R3B14-15</t>
  </si>
  <si>
    <t>S1R4B3-4</t>
  </si>
  <si>
    <t>S1R3B16-17</t>
  </si>
  <si>
    <t>S1R4B1-2</t>
  </si>
  <si>
    <t>2 Etage</t>
  </si>
  <si>
    <t>S2R0B0</t>
  </si>
  <si>
    <t>S2R2B15-16</t>
  </si>
  <si>
    <t>S2R1B9-10</t>
  </si>
  <si>
    <t>S2R2B13-14</t>
  </si>
  <si>
    <t>S2R1B11-12</t>
  </si>
  <si>
    <t>S2R2B1-8</t>
  </si>
  <si>
    <t>S2R1B1-8</t>
  </si>
  <si>
    <t>S2R2B0</t>
  </si>
  <si>
    <t>S2R1B0</t>
  </si>
  <si>
    <t>S2R2B9-10</t>
  </si>
  <si>
    <t>S2R1B15-16</t>
  </si>
  <si>
    <t>S2R2B11-12</t>
  </si>
  <si>
    <t>S2R1B13-14</t>
  </si>
  <si>
    <t>S2R0B1-2</t>
  </si>
  <si>
    <t>S2R0B3-4</t>
  </si>
  <si>
    <t>S2R3B1-2</t>
  </si>
  <si>
    <t>S2R4B7-8</t>
  </si>
  <si>
    <t>S2R3B3-4</t>
  </si>
  <si>
    <t>S2R4B5-6</t>
  </si>
  <si>
    <t>S2R3B5-13</t>
  </si>
  <si>
    <t>S2R4B5-12</t>
  </si>
  <si>
    <t>S2R3B0</t>
  </si>
  <si>
    <t>S2R4B0</t>
  </si>
  <si>
    <t>S2R3B14-15</t>
  </si>
  <si>
    <t>S2R4B3-4</t>
  </si>
  <si>
    <t>S2R3B16-17</t>
  </si>
  <si>
    <t>S2R4B1-2</t>
  </si>
  <si>
    <t>Doppeldosen Stock2:</t>
  </si>
  <si>
    <t>Einzel dosen Stock2:</t>
  </si>
  <si>
    <t>Grafik Etage</t>
  </si>
  <si>
    <t>länge rack2 zu rackMain</t>
  </si>
  <si>
    <t>S3R1B13-16</t>
  </si>
  <si>
    <t>S3R2B17-20</t>
  </si>
  <si>
    <t>S3R1B17-20</t>
  </si>
  <si>
    <t>S3R2B13-16</t>
  </si>
  <si>
    <t>S3R1B21-24</t>
  </si>
  <si>
    <t>S3R2B21-24</t>
  </si>
  <si>
    <t>S3R1B1-4</t>
  </si>
  <si>
    <t>S3R2B1-4</t>
  </si>
  <si>
    <t>S1R1B5-8</t>
  </si>
  <si>
    <t>S3R2B5-8</t>
  </si>
  <si>
    <t>S1R1B9-12</t>
  </si>
  <si>
    <t>S3R2B9-12</t>
  </si>
  <si>
    <t>S3R0B5-8</t>
  </si>
  <si>
    <t>S3R0B1-4</t>
  </si>
  <si>
    <t>S3R4B17-20</t>
  </si>
  <si>
    <t>S3R3B1-4</t>
  </si>
  <si>
    <t>S3R4B13-16</t>
  </si>
  <si>
    <t>S3R3B5-8</t>
  </si>
  <si>
    <t>S3R4B9-12</t>
  </si>
  <si>
    <t>S3R3B9-12</t>
  </si>
  <si>
    <t>S3R4B5-8</t>
  </si>
  <si>
    <t>S3R3B13-16</t>
  </si>
  <si>
    <t>S3R4B3-4</t>
  </si>
  <si>
    <t>S3R3B17-20</t>
  </si>
  <si>
    <t>S3R4B0</t>
  </si>
  <si>
    <t>2xaccespoint</t>
  </si>
  <si>
    <t>S3R3B21-24</t>
  </si>
  <si>
    <t>S3R4B1-2</t>
  </si>
  <si>
    <t>S3R2-3B0</t>
  </si>
  <si>
    <t>S3R1B0</t>
  </si>
  <si>
    <t>S3R0B0</t>
  </si>
  <si>
    <t>Doppeldosen Stock3:</t>
  </si>
  <si>
    <t>Einzel dosen Stock3:</t>
  </si>
  <si>
    <t>4 Etage → Terrasse</t>
  </si>
  <si>
    <t>S4R0B0</t>
  </si>
  <si>
    <t>S4R2B7-8</t>
  </si>
  <si>
    <t>S4R1B1-4</t>
  </si>
  <si>
    <t>S4R2B0</t>
  </si>
  <si>
    <t>S4R1B5-8</t>
  </si>
  <si>
    <t>S4R2B5-6</t>
  </si>
  <si>
    <t>S4R1B0</t>
  </si>
  <si>
    <t>S4R0B1-2</t>
  </si>
  <si>
    <t>S4R1B11-12</t>
  </si>
  <si>
    <t>S4R2B1-4</t>
  </si>
  <si>
    <t>S4R1B9-10</t>
  </si>
  <si>
    <t>S4R3-4B1-2</t>
  </si>
  <si>
    <t>S4R0B3-4</t>
  </si>
  <si>
    <t>S4R3-4B0</t>
  </si>
  <si>
    <t>S4R5B11-12</t>
  </si>
  <si>
    <t>S4R3-4B3-4</t>
  </si>
  <si>
    <t>S4R5B9-10</t>
  </si>
  <si>
    <t>S4R5B5-8</t>
  </si>
  <si>
    <t>S4R5B0</t>
  </si>
  <si>
    <t>S4R5B1-4</t>
  </si>
  <si>
    <t>kabel Kanäle wagrecht:</t>
  </si>
  <si>
    <t>Kabel Kanäle senkrecht:</t>
  </si>
  <si>
    <t>Insgesamt</t>
  </si>
  <si>
    <t>Raum 1</t>
  </si>
  <si>
    <t>Stock1</t>
  </si>
  <si>
    <t>Raum 2</t>
  </si>
  <si>
    <t>Stock2</t>
  </si>
  <si>
    <t>Raum 3</t>
  </si>
  <si>
    <t>Stock3</t>
  </si>
  <si>
    <t>Raum 4</t>
  </si>
  <si>
    <t>Stock4</t>
  </si>
  <si>
    <t>Gang</t>
  </si>
  <si>
    <t>Kabel Kanäle Decke:</t>
  </si>
  <si>
    <t>Stock 1</t>
  </si>
  <si>
    <t>Raum1</t>
  </si>
  <si>
    <t>Raum2</t>
  </si>
  <si>
    <t>Raum3</t>
  </si>
  <si>
    <t>Raum4</t>
  </si>
  <si>
    <t>Stock 2</t>
  </si>
  <si>
    <t>Stock 3 / medienraum</t>
  </si>
  <si>
    <t>Raum5</t>
  </si>
  <si>
    <t>Stock 4</t>
  </si>
  <si>
    <t>Raum 5</t>
  </si>
  <si>
    <t>Plan: Billig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</si>
</sst>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€-C07]\ #,##0.00;[Red]\-[$€-C07]\ #,##0.00"/>
    <numFmt numFmtId="165" formatCode="#,##0.00\ [$€-1];[Red]\-#,##0.00\ [$€-1]"/>
    <numFmt numFmtId="166" formatCode="[$€]\ #,##0.00" x16r2:formatCode16="[$€-en-AT]\ #,##0.00"/>
    <numFmt numFmtId="167" formatCode="[$€-462]\ #,##0.00_-"/>
  </numFmts>
  <fonts count="8" x14ac:knownFonts="1"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4"/>
      <color rgb="FF393939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729FCF"/>
        <bgColor rgb="FF77BC65"/>
      </patternFill>
    </fill>
    <fill>
      <patternFill patternType="solid">
        <fgColor rgb="FF81D41A"/>
        <bgColor rgb="FF77BC65"/>
      </patternFill>
    </fill>
    <fill>
      <patternFill patternType="solid">
        <fgColor rgb="FFAFD095"/>
        <bgColor rgb="FFB4C7DC"/>
      </patternFill>
    </fill>
    <fill>
      <patternFill patternType="solid">
        <fgColor rgb="FF77BC65"/>
        <bgColor rgb="FF81D41A"/>
      </patternFill>
    </fill>
    <fill>
      <patternFill patternType="solid">
        <fgColor rgb="FF3FAF46"/>
        <bgColor rgb="FF77BC65"/>
      </patternFill>
    </fill>
    <fill>
      <patternFill patternType="solid">
        <fgColor rgb="FF158466"/>
        <bgColor rgb="FF008080"/>
      </patternFill>
    </fill>
    <fill>
      <patternFill patternType="solid">
        <fgColor rgb="FFE8F2A1"/>
        <bgColor rgb="FFFFFFCC"/>
      </patternFill>
    </fill>
    <fill>
      <patternFill patternType="solid">
        <fgColor rgb="FFBF819E"/>
        <bgColor rgb="FFFF8080"/>
      </patternFill>
    </fill>
    <fill>
      <patternFill patternType="solid">
        <fgColor rgb="FFD4EA6B"/>
        <bgColor rgb="FFBBE33D"/>
      </patternFill>
    </fill>
    <fill>
      <patternFill patternType="solid">
        <fgColor rgb="FFA1467E"/>
        <bgColor rgb="FF8D1D75"/>
      </patternFill>
    </fill>
    <fill>
      <patternFill patternType="solid">
        <fgColor rgb="FFBBE33D"/>
        <bgColor rgb="FFD4EA6B"/>
      </patternFill>
    </fill>
    <fill>
      <patternFill patternType="solid">
        <fgColor rgb="FF8D1D75"/>
        <bgColor rgb="FF80008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9E9E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/>
    </xf>
    <xf numFmtId="0" fontId="1" fillId="0" borderId="0" xfId="0" applyFont="1"/>
    <xf numFmtId="0" fontId="0" fillId="4" borderId="0" xfId="0" applyFill="1" applyAlignment="1">
      <alignment horizontal="left"/>
    </xf>
    <xf numFmtId="164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/>
    <xf numFmtId="0" fontId="3" fillId="4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64" fontId="4" fillId="0" borderId="0" xfId="1" applyNumberFormat="1"/>
    <xf numFmtId="0" fontId="4" fillId="0" borderId="0" xfId="1"/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0" fillId="6" borderId="0" xfId="0" applyFill="1" applyAlignment="1">
      <alignment horizontal="right"/>
    </xf>
    <xf numFmtId="165" fontId="0" fillId="0" borderId="0" xfId="0" applyNumberFormat="1"/>
    <xf numFmtId="0" fontId="6" fillId="0" borderId="0" xfId="0" applyFont="1"/>
    <xf numFmtId="0" fontId="7" fillId="0" borderId="0" xfId="0" applyFont="1" applyAlignment="1">
      <alignment horizontal="center"/>
    </xf>
    <xf numFmtId="164" fontId="1" fillId="0" borderId="0" xfId="0" applyNumberFormat="1" applyFont="1"/>
    <xf numFmtId="0" fontId="0" fillId="0" borderId="0" xfId="0" quotePrefix="1" applyAlignment="1">
      <alignment horizontal="center"/>
    </xf>
    <xf numFmtId="166" fontId="0" fillId="0" borderId="0" xfId="0" applyNumberFormat="1"/>
    <xf numFmtId="0" fontId="0" fillId="0" borderId="0" xfId="0" applyAlignment="1">
      <alignment wrapText="1"/>
    </xf>
    <xf numFmtId="167" fontId="0" fillId="0" borderId="0" xfId="0" applyNumberFormat="1"/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B4C7DC"/>
      <rgbColor rgb="FF77BC65"/>
      <rgbColor rgb="FF729FCF"/>
      <rgbColor rgb="FFA1467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AFD095"/>
      <rgbColor rgb="FFFF99CC"/>
      <rgbColor rgb="FFCC99FF"/>
      <rgbColor rgb="FFFFCC99"/>
      <rgbColor rgb="FF3366FF"/>
      <rgbColor rgb="FF33CCCC"/>
      <rgbColor rgb="FF81D41A"/>
      <rgbColor rgb="FFBBE33D"/>
      <rgbColor rgb="FFFF9900"/>
      <rgbColor rgb="FFFF6600"/>
      <rgbColor rgb="FF666699"/>
      <rgbColor rgb="FFBF819E"/>
      <rgbColor rgb="FF003366"/>
      <rgbColor rgb="FF3FAF46"/>
      <rgbColor rgb="FF003300"/>
      <rgbColor rgb="FF333300"/>
      <rgbColor rgb="FF993300"/>
      <rgbColor rgb="FF8D1D75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mg.de/ubiquiti-networks/unifi/unifi-access-point/ubiquiti-unifi-7-professional-u7-pro_28529_5827" TargetMode="External"/><Relationship Id="rId13" Type="http://schemas.openxmlformats.org/officeDocument/2006/relationships/hyperlink" Target="https://www.reichelt.at/at/de/shop/produkt/stecker_set_kabel_bis_awg_23_blau_10_stk_-198609" TargetMode="External"/><Relationship Id="rId18" Type="http://schemas.openxmlformats.org/officeDocument/2006/relationships/hyperlink" Target="https://www.omg.de/netzwerk/netzwerk-und-serverschraenke/omg-serverschrank-15-he-wandgehaeuse-600-x-600-x-770mm_29037_6013" TargetMode="External"/><Relationship Id="rId26" Type="http://schemas.openxmlformats.org/officeDocument/2006/relationships/hyperlink" Target="https://www.omg.de/ubiquiti-networks/unifi/unifi-switch/usw-24-poe_21544_4061" TargetMode="External"/><Relationship Id="rId3" Type="http://schemas.openxmlformats.org/officeDocument/2006/relationships/hyperlink" Target="https://www.omg.de/netzwerk/netzwerk-und-serverschraenke/omg-serverschrank-15-he-wandgehaeuse-600-x-600-x-770mm_29037_6013" TargetMode="External"/><Relationship Id="rId21" Type="http://schemas.openxmlformats.org/officeDocument/2006/relationships/hyperlink" Target="https://www.obi.at/p/9806126/kabelkanal-40-mm-x-40-mm-weiss-laenge-2-m" TargetMode="External"/><Relationship Id="rId7" Type="http://schemas.openxmlformats.org/officeDocument/2006/relationships/hyperlink" Target="https://www.conrad.at/de/p/heidemann-09823-bruestungskanal-b-x-h-x-t-2000-x-130-x-65-mm-1-st-reinweiss-365186.html" TargetMode="External"/><Relationship Id="rId12" Type="http://schemas.openxmlformats.org/officeDocument/2006/relationships/hyperlink" Target="https://www.reichelt.at/at/de/shop/produkt/unterputz_rj45-dose_2-fach-400593?PROVID=2807&amp;gad_source=1&amp;gad_campaignid=20706797224&amp;gclid=Cj0KCQiAiqDJBhCXARIsABk2kSmDGNZQFtL0i7oDVEG4kzMF0MMbTEpDu5XwpGqdUuu677Sjx8AOhVIaAodLEALw_wcB" TargetMode="External"/><Relationship Id="rId17" Type="http://schemas.openxmlformats.org/officeDocument/2006/relationships/hyperlink" Target="https://www.conrad.at/de/p/digitus-digitus-24-port-netzwerk-patchpanel-483-mm-19-cat-6a-cat-6a-rohkabel-cat-7-1-he-schwarz-bestueckt-1909710.html" TargetMode="External"/><Relationship Id="rId25" Type="http://schemas.openxmlformats.org/officeDocument/2006/relationships/hyperlink" Target="https://www.reichelt.at/at/de/shop/produkt/netzwerkkabel_cat_6a_u_ftp_500_mhz_305_m-394520" TargetMode="External"/><Relationship Id="rId2" Type="http://schemas.openxmlformats.org/officeDocument/2006/relationships/hyperlink" Target="https://www.conrad.at/de/p/digitus-digitus-24-port-netzwerk-patchpanel-483-mm-19-cat-6a-cat-6a-rohkabel-cat-7-1-he-schwarz-bestueckt-1909710.html" TargetMode="External"/><Relationship Id="rId16" Type="http://schemas.openxmlformats.org/officeDocument/2006/relationships/hyperlink" Target="https://www.omg.de/netzwerk/netzwerk-und-serverschraenke/omg-serverschrank-42-he-19-glastuer-800-x-1000-x-2000mm_29030_6002" TargetMode="External"/><Relationship Id="rId20" Type="http://schemas.openxmlformats.org/officeDocument/2006/relationships/hyperlink" Target="https://at.rs-online.com/web/p/kabelrinnen/9013998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www.omg.de/netzwerk/netzwerk-und-serverschraenke/omg-serverschrank-42-he-19-glastuer-800-x-1000-x-2000mm_29030_6002" TargetMode="External"/><Relationship Id="rId6" Type="http://schemas.openxmlformats.org/officeDocument/2006/relationships/hyperlink" Target="https://www.obi.at/p/9806126/kabelkanal-40-mm-x-40-mm-weiss-laenge-2-m" TargetMode="External"/><Relationship Id="rId11" Type="http://schemas.openxmlformats.org/officeDocument/2006/relationships/hyperlink" Target="https://www.omg.de/ubiquiti-networks/unifi/unifi-switch/usw-24-poe_21544_4061" TargetMode="External"/><Relationship Id="rId24" Type="http://schemas.openxmlformats.org/officeDocument/2006/relationships/hyperlink" Target="https://www.reichelt.at/at/de/shop/produkt/cat_6a_netzwerkdose_2-fach_unterputz_rj45_lsa_-362725" TargetMode="External"/><Relationship Id="rId5" Type="http://schemas.openxmlformats.org/officeDocument/2006/relationships/hyperlink" Target="https://at.rs-online.com/web/p/kabelrinnen/9013998" TargetMode="External"/><Relationship Id="rId15" Type="http://schemas.openxmlformats.org/officeDocument/2006/relationships/hyperlink" Target="https://www.reichelt.at/at/de/shop/produkt/cat-7_verlegekabel_stp-pimf_500m-37308" TargetMode="External"/><Relationship Id="rId23" Type="http://schemas.openxmlformats.org/officeDocument/2006/relationships/hyperlink" Target="https://www.omg.de/ubiquiti-networks/unifi/unifi-access-point/ubiquiti-unifi-7-professional-u7-pro_28529_5827" TargetMode="External"/><Relationship Id="rId28" Type="http://schemas.openxmlformats.org/officeDocument/2006/relationships/hyperlink" Target="https://www.reichelt.at/at/de/shop/produkt/cat-7_verlegekabel_stp-pimf_500m-37308" TargetMode="External"/><Relationship Id="rId10" Type="http://schemas.openxmlformats.org/officeDocument/2006/relationships/hyperlink" Target="https://www.reichelt.at/at/de/shop/produkt/netzwerkkabel_cat_6a_u_ftp_500_mhz_305_m-394520" TargetMode="External"/><Relationship Id="rId19" Type="http://schemas.openxmlformats.org/officeDocument/2006/relationships/hyperlink" Target="https://www.omg.de/ubiquiti-networks/unifi/unifi-switch/ubiquiti-unifi-switch-enterprise-xg-24-usw-enterprisexg-24_25613_5084" TargetMode="External"/><Relationship Id="rId4" Type="http://schemas.openxmlformats.org/officeDocument/2006/relationships/hyperlink" Target="https://www.omg.de/ubiquiti-networks/unifi/unifi-switch/ubiquiti-unifi-switch-enterprise-xg-24-usw-enterprisexg-24_25613_5084" TargetMode="External"/><Relationship Id="rId9" Type="http://schemas.openxmlformats.org/officeDocument/2006/relationships/hyperlink" Target="https://www.reichelt.at/at/de/shop/produkt/cat_6a_netzwerkdose_2-fach_unterputz_rj45_lsa_-362725" TargetMode="External"/><Relationship Id="rId14" Type="http://schemas.openxmlformats.org/officeDocument/2006/relationships/hyperlink" Target="https://www.reichelt.at/at/de/shop/produkt/verlegekabel_cat_7a_halogenfrei_100_m-296611" TargetMode="External"/><Relationship Id="rId22" Type="http://schemas.openxmlformats.org/officeDocument/2006/relationships/hyperlink" Target="https://www.conrad.at/de/p/heidemann-09823-bruestungskanal-b-x-h-x-t-2000-x-130-x-65-mm-1-st-reinweiss-365186.html" TargetMode="External"/><Relationship Id="rId27" Type="http://schemas.openxmlformats.org/officeDocument/2006/relationships/hyperlink" Target="https://www.reichelt.at/at/de/shop/produkt/unterputz_rj45-dose_2-fach-400593?PROVID=2807&amp;gad_source=1&amp;gad_campaignid=20706797224&amp;gclid=Cj0KCQiAiqDJBhCXARIsABk2kSmDGNZQFtL0i7oDVEG4kzMF0MMbTEpDu5XwpGqdUuu677Sjx8AOhVIaAodL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2:AC149"/>
  <sheetViews>
    <sheetView tabSelected="1" topLeftCell="O11" zoomScale="64" zoomScaleNormal="85" workbookViewId="0">
      <selection activeCell="P17" sqref="P17"/>
    </sheetView>
  </sheetViews>
  <sheetFormatPr baseColWidth="10" defaultColWidth="11.54296875" defaultRowHeight="12.75" customHeight="1" x14ac:dyDescent="0.25"/>
  <cols>
    <col min="3" max="3" width="26.453125" customWidth="1"/>
    <col min="4" max="4" width="16.1796875" customWidth="1"/>
    <col min="5" max="5" width="15" customWidth="1"/>
    <col min="6" max="6" width="5.453125" customWidth="1"/>
    <col min="8" max="8" width="14.81640625" customWidth="1"/>
    <col min="9" max="9" width="19.81640625" customWidth="1"/>
    <col min="10" max="10" width="26.7265625" customWidth="1"/>
    <col min="11" max="11" width="15.1796875" customWidth="1"/>
    <col min="12" max="12" width="12.1796875" customWidth="1"/>
    <col min="19" max="19" width="15.81640625" customWidth="1"/>
    <col min="20" max="20" width="26" customWidth="1"/>
    <col min="21" max="21" width="18.453125" customWidth="1"/>
    <col min="22" max="22" width="13.453125" customWidth="1"/>
    <col min="24" max="24" width="16.453125" customWidth="1"/>
    <col min="25" max="25" width="46.453125" customWidth="1"/>
    <col min="26" max="26" width="24.453125" customWidth="1"/>
  </cols>
  <sheetData>
    <row r="2" spans="1:29" ht="12.5" x14ac:dyDescent="0.25">
      <c r="C2" s="1" t="s">
        <v>0</v>
      </c>
      <c r="D2" s="1" t="s">
        <v>1</v>
      </c>
      <c r="E2" s="1" t="s">
        <v>2</v>
      </c>
      <c r="G2" s="1" t="s">
        <v>3</v>
      </c>
      <c r="I2" s="1" t="s">
        <v>4</v>
      </c>
      <c r="J2" s="1" t="s">
        <v>5</v>
      </c>
      <c r="K2" s="1" t="s">
        <v>6</v>
      </c>
    </row>
    <row r="3" spans="1:29" ht="12.5" x14ac:dyDescent="0.25">
      <c r="C3" s="2">
        <f>SUM(G24+G45+G66+G105+N75)</f>
        <v>6672.9000000000005</v>
      </c>
      <c r="D3" s="2">
        <f>SUM(B11:B24 )+SUM(I11:I20)+SUM(B32:B45)+SUM(I32:I44)+SUM(B53:B66)+SUM(I53:I65)+SUM(B74:B88)+SUM(I74:I87)+SUM(B94:B105)+SUM(I94:I101)</f>
        <v>369</v>
      </c>
      <c r="E3" s="2">
        <f>SUM(I24,I47,I68,I105)</f>
        <v>121</v>
      </c>
      <c r="G3" s="2">
        <f>SUM(J24,J47,J68,J90,J105)</f>
        <v>26</v>
      </c>
      <c r="I3" s="2">
        <f>N110</f>
        <v>84</v>
      </c>
      <c r="J3" s="2">
        <f>G112</f>
        <v>364.6</v>
      </c>
      <c r="K3" s="2">
        <f>N117</f>
        <v>104.30000000000001</v>
      </c>
    </row>
    <row r="4" spans="1:29" ht="12.5" x14ac:dyDescent="0.25">
      <c r="C4" s="1" t="s">
        <v>7</v>
      </c>
    </row>
    <row r="5" spans="1:29" ht="12.5" x14ac:dyDescent="0.25">
      <c r="C5" s="2">
        <f>G88</f>
        <v>1824.3000000000002</v>
      </c>
    </row>
    <row r="6" spans="1:29" ht="13" x14ac:dyDescent="0.3">
      <c r="C6" s="1" t="s">
        <v>8</v>
      </c>
      <c r="T6" s="5" t="s">
        <v>9</v>
      </c>
    </row>
    <row r="7" spans="1:29" ht="12.75" customHeight="1" x14ac:dyDescent="0.25">
      <c r="C7" s="2">
        <f>250+N75*6</f>
        <v>424</v>
      </c>
    </row>
    <row r="8" spans="1:29" ht="13" x14ac:dyDescent="0.3">
      <c r="C8" s="3" t="s">
        <v>10</v>
      </c>
      <c r="T8" s="4" t="s">
        <v>11</v>
      </c>
      <c r="U8" s="4" t="s">
        <v>12</v>
      </c>
      <c r="V8" s="4" t="s">
        <v>13</v>
      </c>
      <c r="W8" s="4" t="s">
        <v>14</v>
      </c>
      <c r="X8" s="4" t="s">
        <v>15</v>
      </c>
      <c r="Y8" s="4" t="s">
        <v>16</v>
      </c>
      <c r="Z8" s="27" t="s">
        <v>17</v>
      </c>
      <c r="AC8" s="21"/>
    </row>
    <row r="9" spans="1:29" ht="12.5" x14ac:dyDescent="0.25">
      <c r="A9" t="s">
        <v>19</v>
      </c>
      <c r="B9" s="3" t="s">
        <v>19</v>
      </c>
      <c r="H9" s="6" t="s">
        <v>20</v>
      </c>
      <c r="T9" t="s">
        <v>21</v>
      </c>
      <c r="U9">
        <v>1</v>
      </c>
      <c r="V9">
        <f>ROUNDUP(U9,0)</f>
        <v>1</v>
      </c>
      <c r="W9" s="7">
        <v>1055.98</v>
      </c>
      <c r="X9" s="20" t="s">
        <v>22</v>
      </c>
      <c r="Y9" t="s">
        <v>23</v>
      </c>
      <c r="Z9" s="7">
        <f>V9*W9</f>
        <v>1055.98</v>
      </c>
      <c r="AC9" s="11"/>
    </row>
    <row r="10" spans="1:29" ht="12.5" x14ac:dyDescent="0.25">
      <c r="A10" s="8" t="s">
        <v>25</v>
      </c>
      <c r="B10" s="8" t="s">
        <v>26</v>
      </c>
      <c r="C10" s="8" t="s">
        <v>27</v>
      </c>
      <c r="D10" s="8" t="s">
        <v>28</v>
      </c>
      <c r="E10" s="8" t="s">
        <v>29</v>
      </c>
      <c r="H10" s="8" t="s">
        <v>25</v>
      </c>
      <c r="I10" s="8" t="s">
        <v>26</v>
      </c>
      <c r="J10" s="8" t="s">
        <v>30</v>
      </c>
      <c r="K10" s="8" t="s">
        <v>28</v>
      </c>
      <c r="L10" s="8" t="s">
        <v>29</v>
      </c>
      <c r="T10" t="s">
        <v>31</v>
      </c>
      <c r="U10">
        <v>19</v>
      </c>
      <c r="V10">
        <f t="shared" ref="V10:V21" si="0">ROUNDUP(U10,0)</f>
        <v>19</v>
      </c>
      <c r="W10" s="25">
        <v>311.04000000000002</v>
      </c>
      <c r="X10" s="21" t="s">
        <v>18</v>
      </c>
      <c r="Y10" t="s">
        <v>32</v>
      </c>
      <c r="Z10" s="7">
        <f t="shared" ref="Z10:Z21" si="1">V10*W10</f>
        <v>5909.76</v>
      </c>
      <c r="AC10" s="11"/>
    </row>
    <row r="11" spans="1:29" ht="12.5" x14ac:dyDescent="0.25">
      <c r="A11" s="9" t="s">
        <v>34</v>
      </c>
      <c r="B11" s="9">
        <v>1</v>
      </c>
      <c r="C11" s="9">
        <v>9</v>
      </c>
      <c r="D11" s="9">
        <f>C11</f>
        <v>9</v>
      </c>
      <c r="E11" s="9">
        <f t="shared" ref="E11:E24" si="2">B11*D11</f>
        <v>9</v>
      </c>
      <c r="H11" s="10" t="s">
        <v>35</v>
      </c>
      <c r="I11" s="10">
        <v>2</v>
      </c>
      <c r="J11" s="10">
        <v>3.5</v>
      </c>
      <c r="K11" s="10">
        <f>J11</f>
        <v>3.5</v>
      </c>
      <c r="L11" s="10">
        <f t="shared" ref="L11:L20" si="3">I11*K11</f>
        <v>7</v>
      </c>
      <c r="T11" t="s">
        <v>36</v>
      </c>
      <c r="U11">
        <f>ROUNDUP(J3 / 2,0)</f>
        <v>183</v>
      </c>
      <c r="V11">
        <f>ROUNDUP(U11,0)+10</f>
        <v>193</v>
      </c>
      <c r="W11" s="7">
        <v>36.659999999999997</v>
      </c>
      <c r="X11" s="11" t="s">
        <v>24</v>
      </c>
      <c r="Y11" t="s">
        <v>37</v>
      </c>
      <c r="Z11" s="7">
        <f t="shared" si="1"/>
        <v>7075.3799999999992</v>
      </c>
      <c r="AC11" s="11"/>
    </row>
    <row r="12" spans="1:29" ht="17.5" x14ac:dyDescent="0.25">
      <c r="A12" s="10" t="s">
        <v>39</v>
      </c>
      <c r="B12" s="10">
        <v>2</v>
      </c>
      <c r="C12" s="10">
        <v>5.5</v>
      </c>
      <c r="D12" s="10">
        <f>C12+SUM($C$11:C11)</f>
        <v>14.5</v>
      </c>
      <c r="E12" s="10">
        <f t="shared" si="2"/>
        <v>29</v>
      </c>
      <c r="H12" s="9" t="s">
        <v>40</v>
      </c>
      <c r="I12" s="9">
        <v>1</v>
      </c>
      <c r="J12" s="9">
        <v>4</v>
      </c>
      <c r="K12" s="9">
        <f>J12+SUM($J$11:J11)</f>
        <v>7.5</v>
      </c>
      <c r="L12" s="9">
        <f t="shared" si="3"/>
        <v>7.5</v>
      </c>
      <c r="T12" t="s">
        <v>41</v>
      </c>
      <c r="U12">
        <f>ROUNDUP(K3 / 2,0)</f>
        <v>53</v>
      </c>
      <c r="V12">
        <f t="shared" ref="V12:V13" si="4">ROUNDUP(U12,0)+10</f>
        <v>63</v>
      </c>
      <c r="W12" s="7">
        <v>82.14</v>
      </c>
      <c r="X12" s="11" t="s">
        <v>33</v>
      </c>
      <c r="Y12" t="s">
        <v>42</v>
      </c>
      <c r="Z12" s="7">
        <f t="shared" si="1"/>
        <v>5174.82</v>
      </c>
      <c r="AA12" s="22"/>
      <c r="AC12" s="11"/>
    </row>
    <row r="13" spans="1:29" ht="17.5" x14ac:dyDescent="0.25">
      <c r="A13" s="9" t="s">
        <v>44</v>
      </c>
      <c r="B13" s="9">
        <v>2</v>
      </c>
      <c r="C13" s="9">
        <v>1.6</v>
      </c>
      <c r="D13" s="9">
        <f>C13+SUM($C$11:C12)</f>
        <v>16.100000000000001</v>
      </c>
      <c r="E13" s="9">
        <f t="shared" si="2"/>
        <v>32.200000000000003</v>
      </c>
      <c r="H13" s="10" t="s">
        <v>45</v>
      </c>
      <c r="I13" s="10">
        <v>4</v>
      </c>
      <c r="J13" s="10">
        <v>0.3</v>
      </c>
      <c r="K13" s="10">
        <f>J13+SUM($J$11:J12)</f>
        <v>7.8</v>
      </c>
      <c r="L13" s="10">
        <f t="shared" si="3"/>
        <v>31.2</v>
      </c>
      <c r="T13" t="s">
        <v>46</v>
      </c>
      <c r="U13">
        <f>ROUNDUP(I3/2, 0)</f>
        <v>42</v>
      </c>
      <c r="V13">
        <f t="shared" si="4"/>
        <v>52</v>
      </c>
      <c r="W13" s="7">
        <v>4.99</v>
      </c>
      <c r="X13" s="20" t="s">
        <v>38</v>
      </c>
      <c r="Y13" t="s">
        <v>47</v>
      </c>
      <c r="Z13" s="7">
        <f t="shared" si="1"/>
        <v>259.48</v>
      </c>
      <c r="AA13" s="23"/>
      <c r="AB13" s="22"/>
      <c r="AC13" s="11"/>
    </row>
    <row r="14" spans="1:29" ht="17.5" x14ac:dyDescent="0.25">
      <c r="A14" s="10" t="s">
        <v>48</v>
      </c>
      <c r="B14" s="10">
        <v>8</v>
      </c>
      <c r="C14" s="10">
        <v>0.8</v>
      </c>
      <c r="D14" s="10">
        <f>C14+SUM($C$11:C13)</f>
        <v>16.900000000000002</v>
      </c>
      <c r="E14" s="10">
        <f t="shared" si="2"/>
        <v>135.20000000000002</v>
      </c>
      <c r="H14" s="9" t="s">
        <v>49</v>
      </c>
      <c r="I14" s="9">
        <v>4</v>
      </c>
      <c r="J14" s="9">
        <v>6.4</v>
      </c>
      <c r="K14" s="9">
        <f>J14+SUM($J$11:J13)</f>
        <v>14.2</v>
      </c>
      <c r="L14" s="9">
        <f t="shared" si="3"/>
        <v>56.8</v>
      </c>
      <c r="T14" t="s">
        <v>50</v>
      </c>
      <c r="U14">
        <f>B25+I21+I45+B46+B67+I66+I91+B89+B106+I102</f>
        <v>26</v>
      </c>
      <c r="V14">
        <f t="shared" si="0"/>
        <v>26</v>
      </c>
      <c r="W14" s="7">
        <v>150.47</v>
      </c>
      <c r="X14" s="20" t="s">
        <v>43</v>
      </c>
      <c r="Y14" t="s">
        <v>51</v>
      </c>
      <c r="Z14" s="7">
        <f t="shared" si="1"/>
        <v>3912.22</v>
      </c>
      <c r="AA14" s="23"/>
      <c r="AB14" s="22"/>
      <c r="AC14" s="11"/>
    </row>
    <row r="15" spans="1:29" ht="17.5" x14ac:dyDescent="0.25">
      <c r="A15" s="9" t="s">
        <v>53</v>
      </c>
      <c r="B15" s="9">
        <v>1</v>
      </c>
      <c r="C15" s="9">
        <v>4.2</v>
      </c>
      <c r="D15" s="9">
        <f>C15+SUM($C$11:C14)</f>
        <v>21.1</v>
      </c>
      <c r="E15" s="9">
        <f t="shared" si="2"/>
        <v>21.1</v>
      </c>
      <c r="H15" s="10" t="s">
        <v>54</v>
      </c>
      <c r="I15" s="10">
        <v>2</v>
      </c>
      <c r="J15" s="10">
        <v>0</v>
      </c>
      <c r="K15" s="10">
        <f>J15+SUM($J$11:J14)</f>
        <v>14.2</v>
      </c>
      <c r="L15" s="10">
        <f t="shared" si="3"/>
        <v>28.4</v>
      </c>
      <c r="S15" s="26"/>
      <c r="T15" t="s">
        <v>55</v>
      </c>
      <c r="U15">
        <f>E3</f>
        <v>121</v>
      </c>
      <c r="V15">
        <f>ROUNDUP(U15,0)+10</f>
        <v>131</v>
      </c>
      <c r="W15" s="7">
        <v>6.68</v>
      </c>
      <c r="X15" s="20" t="s">
        <v>56</v>
      </c>
      <c r="Y15" t="s">
        <v>57</v>
      </c>
      <c r="Z15" s="7">
        <f t="shared" si="1"/>
        <v>875.07999999999993</v>
      </c>
      <c r="AA15" s="23"/>
      <c r="AB15" s="22"/>
      <c r="AC15" s="21"/>
    </row>
    <row r="16" spans="1:29" ht="17.5" x14ac:dyDescent="0.25">
      <c r="A16" s="10" t="s">
        <v>59</v>
      </c>
      <c r="B16" s="10">
        <v>2</v>
      </c>
      <c r="C16" s="10">
        <v>1.3</v>
      </c>
      <c r="D16" s="10">
        <f>C16+SUM($C$11:C15)</f>
        <v>22.400000000000002</v>
      </c>
      <c r="E16" s="10">
        <f t="shared" si="2"/>
        <v>44.800000000000004</v>
      </c>
      <c r="G16" t="s">
        <v>60</v>
      </c>
      <c r="H16" s="9" t="s">
        <v>61</v>
      </c>
      <c r="I16" s="9">
        <v>1</v>
      </c>
      <c r="J16" s="9">
        <v>4.4000000000000004</v>
      </c>
      <c r="K16" s="9">
        <f>J16+SUM($J$11:J15)</f>
        <v>18.600000000000001</v>
      </c>
      <c r="L16" s="9">
        <f t="shared" si="3"/>
        <v>18.600000000000001</v>
      </c>
      <c r="T16" t="s">
        <v>62</v>
      </c>
      <c r="U16">
        <f>C3/305</f>
        <v>21.878360655737708</v>
      </c>
      <c r="V16">
        <f>ROUNDUP(U16,0)+1</f>
        <v>23</v>
      </c>
      <c r="W16" s="7">
        <v>176.43</v>
      </c>
      <c r="X16" s="20" t="s">
        <v>52</v>
      </c>
      <c r="Y16" t="s">
        <v>63</v>
      </c>
      <c r="Z16" s="7">
        <f t="shared" si="1"/>
        <v>4057.8900000000003</v>
      </c>
      <c r="AA16" s="23"/>
      <c r="AB16" s="22"/>
      <c r="AC16" s="11"/>
    </row>
    <row r="17" spans="1:29" ht="12.5" x14ac:dyDescent="0.25">
      <c r="A17" s="9" t="s">
        <v>65</v>
      </c>
      <c r="B17" s="9">
        <v>2</v>
      </c>
      <c r="C17" s="9">
        <v>1.6</v>
      </c>
      <c r="D17" s="9">
        <f>C17+SUM($C$11:C16)</f>
        <v>24.000000000000004</v>
      </c>
      <c r="E17" s="9">
        <f t="shared" si="2"/>
        <v>48.000000000000007</v>
      </c>
      <c r="H17" s="10" t="s">
        <v>66</v>
      </c>
      <c r="I17" s="10">
        <v>2</v>
      </c>
      <c r="J17" s="10">
        <v>-3</v>
      </c>
      <c r="K17" s="10">
        <f>J17+SUM($J$11:J16)</f>
        <v>15.600000000000001</v>
      </c>
      <c r="L17" s="10">
        <f t="shared" si="3"/>
        <v>31.200000000000003</v>
      </c>
      <c r="T17" t="s">
        <v>67</v>
      </c>
      <c r="U17">
        <f>ROUNDUP(C5/500, 0)</f>
        <v>4</v>
      </c>
      <c r="V17">
        <f t="shared" si="0"/>
        <v>4</v>
      </c>
      <c r="W17" s="7">
        <v>351.64</v>
      </c>
      <c r="X17" s="20" t="s">
        <v>58</v>
      </c>
      <c r="Y17" t="s">
        <v>68</v>
      </c>
      <c r="Z17" s="7">
        <f t="shared" si="1"/>
        <v>1406.56</v>
      </c>
      <c r="AC17" s="21"/>
    </row>
    <row r="18" spans="1:29" ht="12.5" x14ac:dyDescent="0.25">
      <c r="A18" s="10" t="s">
        <v>70</v>
      </c>
      <c r="B18" s="10">
        <v>2</v>
      </c>
      <c r="C18" s="10">
        <v>5.0999999999999996</v>
      </c>
      <c r="D18" s="10">
        <f>C18+SUM($C$11:C17)</f>
        <v>29.1</v>
      </c>
      <c r="E18" s="10">
        <f t="shared" si="2"/>
        <v>58.2</v>
      </c>
      <c r="H18" s="9" t="s">
        <v>71</v>
      </c>
      <c r="I18" s="9">
        <v>8</v>
      </c>
      <c r="J18" s="9">
        <v>3.7</v>
      </c>
      <c r="K18" s="9">
        <f>J18+SUM($J$11:J17)</f>
        <v>19.3</v>
      </c>
      <c r="L18" s="9">
        <f t="shared" si="3"/>
        <v>154.4</v>
      </c>
      <c r="S18" s="26"/>
      <c r="T18" t="s">
        <v>72</v>
      </c>
      <c r="U18">
        <f>ROUNDUP(C7 / 100, 0)</f>
        <v>5</v>
      </c>
      <c r="V18">
        <f t="shared" si="0"/>
        <v>5</v>
      </c>
      <c r="W18" s="7">
        <v>105.38</v>
      </c>
      <c r="X18" s="20" t="s">
        <v>64</v>
      </c>
      <c r="Y18" t="s">
        <v>73</v>
      </c>
      <c r="Z18" s="7">
        <f t="shared" si="1"/>
        <v>526.9</v>
      </c>
    </row>
    <row r="19" spans="1:29" ht="12.5" x14ac:dyDescent="0.25">
      <c r="A19" s="9" t="s">
        <v>74</v>
      </c>
      <c r="B19" s="9">
        <v>2</v>
      </c>
      <c r="C19" s="9">
        <v>-2.2999999999999998</v>
      </c>
      <c r="D19" s="9">
        <f>C19+SUM($C$11:C18)</f>
        <v>26.8</v>
      </c>
      <c r="E19" s="9">
        <f t="shared" si="2"/>
        <v>53.6</v>
      </c>
      <c r="H19" s="10" t="s">
        <v>75</v>
      </c>
      <c r="I19" s="10">
        <v>4</v>
      </c>
      <c r="J19" s="10">
        <v>4.3</v>
      </c>
      <c r="K19" s="10">
        <f>J19+SUM($J$11:J18)</f>
        <v>23.6</v>
      </c>
      <c r="L19" s="10">
        <f t="shared" si="3"/>
        <v>94.4</v>
      </c>
      <c r="T19" t="s">
        <v>76</v>
      </c>
      <c r="U19">
        <v>1</v>
      </c>
      <c r="V19">
        <f t="shared" si="0"/>
        <v>1</v>
      </c>
      <c r="W19" s="7">
        <v>890.57</v>
      </c>
      <c r="X19" s="21" t="s">
        <v>77</v>
      </c>
      <c r="Y19" t="s">
        <v>78</v>
      </c>
      <c r="Z19" s="7">
        <f t="shared" si="1"/>
        <v>890.57</v>
      </c>
    </row>
    <row r="20" spans="1:29" ht="12.5" x14ac:dyDescent="0.25">
      <c r="A20" s="10" t="s">
        <v>79</v>
      </c>
      <c r="B20" s="10">
        <v>2</v>
      </c>
      <c r="C20" s="10">
        <v>1.4</v>
      </c>
      <c r="D20" s="10">
        <f>C20+SUM($C$11:C19)</f>
        <v>28.2</v>
      </c>
      <c r="E20" s="10">
        <f t="shared" si="2"/>
        <v>56.4</v>
      </c>
      <c r="H20" s="9" t="s">
        <v>80</v>
      </c>
      <c r="I20" s="9">
        <v>2</v>
      </c>
      <c r="J20" s="9">
        <v>1.7</v>
      </c>
      <c r="K20" s="9">
        <f>J20+SUM($J$11:J19)</f>
        <v>25.3</v>
      </c>
      <c r="L20" s="9">
        <f t="shared" si="3"/>
        <v>50.6</v>
      </c>
      <c r="T20" t="s">
        <v>81</v>
      </c>
      <c r="U20">
        <f>U10</f>
        <v>19</v>
      </c>
      <c r="V20">
        <f t="shared" si="0"/>
        <v>19</v>
      </c>
      <c r="W20" s="7">
        <v>53.33</v>
      </c>
      <c r="X20" s="11" t="s">
        <v>82</v>
      </c>
      <c r="Y20" t="s">
        <v>83</v>
      </c>
      <c r="Z20" s="7">
        <f t="shared" si="1"/>
        <v>1013.27</v>
      </c>
    </row>
    <row r="21" spans="1:29" ht="12.5" x14ac:dyDescent="0.25">
      <c r="A21" s="9" t="s">
        <v>84</v>
      </c>
      <c r="B21" s="9">
        <v>8</v>
      </c>
      <c r="C21" s="9">
        <v>5.2</v>
      </c>
      <c r="D21" s="9">
        <f>C21+SUM($C$11:C20)</f>
        <v>33.4</v>
      </c>
      <c r="E21" s="9">
        <f t="shared" si="2"/>
        <v>267.2</v>
      </c>
      <c r="H21" s="24" t="s">
        <v>85</v>
      </c>
      <c r="I21" s="9">
        <v>2</v>
      </c>
      <c r="T21" t="s">
        <v>86</v>
      </c>
      <c r="U21">
        <v>1</v>
      </c>
      <c r="V21">
        <f t="shared" si="0"/>
        <v>1</v>
      </c>
      <c r="W21" s="7">
        <v>292.5</v>
      </c>
      <c r="X21" s="21" t="s">
        <v>87</v>
      </c>
      <c r="Y21" t="s">
        <v>88</v>
      </c>
      <c r="Z21" s="7">
        <f t="shared" si="1"/>
        <v>292.5</v>
      </c>
    </row>
    <row r="22" spans="1:29" ht="12.5" x14ac:dyDescent="0.25">
      <c r="A22" s="10" t="s">
        <v>89</v>
      </c>
      <c r="B22" s="10">
        <v>1</v>
      </c>
      <c r="C22" s="10">
        <v>4.3</v>
      </c>
      <c r="D22" s="10">
        <f>C22+SUM($C$11:C21)</f>
        <v>37.699999999999996</v>
      </c>
      <c r="E22" s="10">
        <f t="shared" si="2"/>
        <v>37.699999999999996</v>
      </c>
      <c r="T22" t="s">
        <v>90</v>
      </c>
      <c r="U22">
        <f>I90/2</f>
        <v>25.5</v>
      </c>
      <c r="V22">
        <v>26</v>
      </c>
      <c r="W22" s="30">
        <v>11.72</v>
      </c>
      <c r="X22" s="21" t="s">
        <v>91</v>
      </c>
      <c r="Y22" t="s">
        <v>92</v>
      </c>
      <c r="Z22" s="32">
        <f>V22*W22</f>
        <v>304.72000000000003</v>
      </c>
    </row>
    <row r="23" spans="1:29" ht="12.5" x14ac:dyDescent="0.25">
      <c r="A23" s="9" t="s">
        <v>93</v>
      </c>
      <c r="B23" s="9">
        <v>2</v>
      </c>
      <c r="C23" s="9">
        <v>1.4</v>
      </c>
      <c r="D23" s="9">
        <f>C23+SUM($C$11:C22)</f>
        <v>39.099999999999994</v>
      </c>
      <c r="E23" s="9">
        <f t="shared" si="2"/>
        <v>78.199999999999989</v>
      </c>
      <c r="G23" t="s">
        <v>94</v>
      </c>
      <c r="I23" t="s">
        <v>95</v>
      </c>
      <c r="J23" t="s">
        <v>96</v>
      </c>
      <c r="T23" t="s">
        <v>97</v>
      </c>
      <c r="U23">
        <f>U10*2</f>
        <v>38</v>
      </c>
      <c r="V23">
        <v>40</v>
      </c>
      <c r="W23" s="30">
        <v>15.96</v>
      </c>
      <c r="X23" s="21" t="s">
        <v>69</v>
      </c>
      <c r="Y23" t="s">
        <v>98</v>
      </c>
      <c r="Z23" s="7">
        <f>V23*W23</f>
        <v>638.40000000000009</v>
      </c>
    </row>
    <row r="24" spans="1:29" ht="12.5" x14ac:dyDescent="0.25">
      <c r="A24" s="10" t="s">
        <v>99</v>
      </c>
      <c r="B24" s="10">
        <v>2</v>
      </c>
      <c r="C24" s="10">
        <v>1.4</v>
      </c>
      <c r="D24" s="10">
        <f>C24+SUM($C$11:C23)</f>
        <v>40.499999999999993</v>
      </c>
      <c r="E24" s="10">
        <f t="shared" si="2"/>
        <v>80.999999999999986</v>
      </c>
      <c r="G24">
        <f>SUM(E11:E24)+SUM(L11:L20)</f>
        <v>1431.7000000000003</v>
      </c>
      <c r="I24">
        <f>SUM(B12,B13,B14,B16,B17,B18,B19,B20,B21,B23,B24,I11,I13,I14,I15,I17,I18,I19,I20)/2</f>
        <v>31</v>
      </c>
      <c r="J24">
        <f>SUM(B11,B15,B22,I12,I16)</f>
        <v>5</v>
      </c>
      <c r="Y24" s="31"/>
      <c r="Z24" s="29" t="s">
        <v>100</v>
      </c>
    </row>
    <row r="25" spans="1:29" ht="13" x14ac:dyDescent="0.3">
      <c r="A25" s="24" t="s">
        <v>85</v>
      </c>
      <c r="B25" s="9">
        <v>3</v>
      </c>
      <c r="X25" s="7"/>
      <c r="Z25" s="28">
        <f>SUM(Z9:Z21)</f>
        <v>32450.410000000003</v>
      </c>
    </row>
    <row r="29" spans="1:29" ht="13" x14ac:dyDescent="0.3">
      <c r="C29" s="3" t="s">
        <v>101</v>
      </c>
      <c r="T29" s="5"/>
    </row>
    <row r="30" spans="1:29" ht="12.5" x14ac:dyDescent="0.25">
      <c r="B30" s="3" t="s">
        <v>19</v>
      </c>
      <c r="H30" s="3" t="s">
        <v>20</v>
      </c>
    </row>
    <row r="31" spans="1:29" ht="13" x14ac:dyDescent="0.3">
      <c r="A31" s="8" t="s">
        <v>25</v>
      </c>
      <c r="B31" s="8" t="s">
        <v>26</v>
      </c>
      <c r="C31" s="8" t="s">
        <v>27</v>
      </c>
      <c r="D31" s="8" t="s">
        <v>28</v>
      </c>
      <c r="E31" s="8" t="s">
        <v>29</v>
      </c>
      <c r="H31" s="8" t="s">
        <v>25</v>
      </c>
      <c r="I31" s="8" t="s">
        <v>26</v>
      </c>
      <c r="J31" s="8" t="s">
        <v>30</v>
      </c>
      <c r="K31" s="8" t="s">
        <v>28</v>
      </c>
      <c r="L31" s="8" t="s">
        <v>29</v>
      </c>
      <c r="T31" s="5" t="s">
        <v>238</v>
      </c>
    </row>
    <row r="32" spans="1:29" ht="12.5" x14ac:dyDescent="0.25">
      <c r="A32" s="9" t="s">
        <v>102</v>
      </c>
      <c r="B32" s="9">
        <v>1</v>
      </c>
      <c r="C32" s="9">
        <v>12</v>
      </c>
      <c r="D32" s="9">
        <f>C32</f>
        <v>12</v>
      </c>
      <c r="E32" s="9">
        <f t="shared" ref="E32:E45" si="5">B32*D32</f>
        <v>12</v>
      </c>
      <c r="H32" s="9" t="s">
        <v>103</v>
      </c>
      <c r="I32" s="9">
        <v>2</v>
      </c>
      <c r="J32" s="9">
        <v>5.2</v>
      </c>
      <c r="K32" s="9">
        <f>J32</f>
        <v>5.2</v>
      </c>
      <c r="L32" s="9">
        <f t="shared" ref="L32:L44" si="6">I32*K32</f>
        <v>10.4</v>
      </c>
    </row>
    <row r="33" spans="1:26" ht="13" x14ac:dyDescent="0.3">
      <c r="A33" s="10" t="s">
        <v>104</v>
      </c>
      <c r="B33" s="10">
        <v>2</v>
      </c>
      <c r="C33" s="10">
        <v>7.4</v>
      </c>
      <c r="D33" s="10">
        <f>C33+SUM($C$32:C32)</f>
        <v>19.399999999999999</v>
      </c>
      <c r="E33" s="10">
        <f t="shared" si="5"/>
        <v>38.799999999999997</v>
      </c>
      <c r="H33" s="10" t="s">
        <v>105</v>
      </c>
      <c r="I33" s="10">
        <v>2</v>
      </c>
      <c r="J33" s="10">
        <v>1.6</v>
      </c>
      <c r="K33" s="10">
        <f>J33+SUM($J$32:J32)</f>
        <v>6.8000000000000007</v>
      </c>
      <c r="L33" s="10">
        <f t="shared" si="6"/>
        <v>13.600000000000001</v>
      </c>
      <c r="T33" s="4" t="s">
        <v>11</v>
      </c>
      <c r="U33" s="4" t="s">
        <v>12</v>
      </c>
      <c r="V33" s="4" t="s">
        <v>13</v>
      </c>
      <c r="W33" s="4" t="s">
        <v>14</v>
      </c>
      <c r="X33" s="4" t="s">
        <v>15</v>
      </c>
      <c r="Y33" s="4" t="s">
        <v>16</v>
      </c>
      <c r="Z33" s="27" t="s">
        <v>17</v>
      </c>
    </row>
    <row r="34" spans="1:26" ht="12.5" x14ac:dyDescent="0.25">
      <c r="A34" s="9" t="s">
        <v>106</v>
      </c>
      <c r="B34" s="9">
        <v>2</v>
      </c>
      <c r="C34" s="9">
        <v>1.6</v>
      </c>
      <c r="D34" s="9">
        <f>C34+SUM($C$32:C33)</f>
        <v>21</v>
      </c>
      <c r="E34" s="9">
        <f t="shared" si="5"/>
        <v>42</v>
      </c>
      <c r="H34" s="9" t="s">
        <v>107</v>
      </c>
      <c r="I34" s="9">
        <v>8</v>
      </c>
      <c r="J34" s="9">
        <f>3-(1.6+2.2)</f>
        <v>-0.80000000000000027</v>
      </c>
      <c r="K34" s="9">
        <f>J34+SUM($J$32:J33)</f>
        <v>6</v>
      </c>
      <c r="L34" s="9">
        <f t="shared" si="6"/>
        <v>48</v>
      </c>
      <c r="T34" t="s">
        <v>21</v>
      </c>
      <c r="U34">
        <v>1</v>
      </c>
      <c r="V34">
        <f>ROUNDUP(U34,0)</f>
        <v>1</v>
      </c>
      <c r="W34" s="7">
        <v>1055.98</v>
      </c>
      <c r="X34" s="20" t="s">
        <v>22</v>
      </c>
      <c r="Y34" t="s">
        <v>23</v>
      </c>
      <c r="Z34" s="7">
        <f>V34*W34</f>
        <v>1055.98</v>
      </c>
    </row>
    <row r="35" spans="1:26" ht="12.5" x14ac:dyDescent="0.25">
      <c r="A35" s="10" t="s">
        <v>108</v>
      </c>
      <c r="B35" s="10">
        <v>8</v>
      </c>
      <c r="C35" s="10">
        <v>-0.8</v>
      </c>
      <c r="D35" s="10">
        <f>C35+SUM($C$32:C34)</f>
        <v>20.2</v>
      </c>
      <c r="E35" s="10">
        <f t="shared" si="5"/>
        <v>161.6</v>
      </c>
      <c r="H35" s="10" t="s">
        <v>109</v>
      </c>
      <c r="I35" s="10">
        <v>1</v>
      </c>
      <c r="J35" s="10">
        <v>4.2</v>
      </c>
      <c r="K35" s="10">
        <f>J35+SUM($J$32:J34)</f>
        <v>10.199999999999999</v>
      </c>
      <c r="L35" s="10">
        <f t="shared" si="6"/>
        <v>10.199999999999999</v>
      </c>
      <c r="T35" t="s">
        <v>31</v>
      </c>
      <c r="U35">
        <v>19</v>
      </c>
      <c r="V35">
        <f t="shared" ref="V35:V46" si="7">ROUNDUP(U35,0)</f>
        <v>19</v>
      </c>
      <c r="W35" s="25">
        <v>311.04000000000002</v>
      </c>
      <c r="X35" s="21" t="s">
        <v>18</v>
      </c>
      <c r="Y35" t="s">
        <v>32</v>
      </c>
      <c r="Z35" s="7">
        <f t="shared" ref="Z35:Z46" si="8">V35*W35</f>
        <v>5909.76</v>
      </c>
    </row>
    <row r="36" spans="1:26" ht="12.5" x14ac:dyDescent="0.25">
      <c r="A36" s="9" t="s">
        <v>110</v>
      </c>
      <c r="B36" s="9">
        <v>1</v>
      </c>
      <c r="C36" s="9">
        <v>4.2</v>
      </c>
      <c r="D36" s="9">
        <f>C36+SUM($C$32:C35)</f>
        <v>24.4</v>
      </c>
      <c r="E36" s="9">
        <f t="shared" si="5"/>
        <v>24.4</v>
      </c>
      <c r="H36" s="9" t="s">
        <v>111</v>
      </c>
      <c r="I36" s="9">
        <v>2</v>
      </c>
      <c r="J36" s="9">
        <f>(3.3+2.7)-4.2</f>
        <v>1.7999999999999998</v>
      </c>
      <c r="K36" s="9">
        <f>J36+SUM($J$32:J35)</f>
        <v>12</v>
      </c>
      <c r="L36" s="9">
        <f t="shared" si="6"/>
        <v>24</v>
      </c>
      <c r="T36" t="s">
        <v>36</v>
      </c>
      <c r="U36">
        <f>ROUNDUP(J3 / 2,0)</f>
        <v>183</v>
      </c>
      <c r="V36">
        <v>183</v>
      </c>
      <c r="W36" s="7">
        <v>36.659999999999997</v>
      </c>
      <c r="X36" s="11" t="s">
        <v>24</v>
      </c>
      <c r="Y36" t="s">
        <v>37</v>
      </c>
      <c r="Z36" s="7">
        <f t="shared" si="8"/>
        <v>6708.78</v>
      </c>
    </row>
    <row r="37" spans="1:26" ht="12.5" x14ac:dyDescent="0.25">
      <c r="A37" s="10" t="s">
        <v>112</v>
      </c>
      <c r="B37" s="10">
        <v>2</v>
      </c>
      <c r="C37" s="10">
        <v>1.8</v>
      </c>
      <c r="D37" s="10">
        <f>C37+SUM($C$32:C36)</f>
        <v>26.2</v>
      </c>
      <c r="E37" s="10">
        <f t="shared" si="5"/>
        <v>52.4</v>
      </c>
      <c r="H37" s="10" t="s">
        <v>113</v>
      </c>
      <c r="I37" s="10">
        <v>2</v>
      </c>
      <c r="J37" s="10">
        <v>1.6</v>
      </c>
      <c r="K37" s="10">
        <f>J37+SUM($J$32:J36)</f>
        <v>13.6</v>
      </c>
      <c r="L37" s="10">
        <f t="shared" si="6"/>
        <v>27.2</v>
      </c>
      <c r="T37" t="s">
        <v>41</v>
      </c>
      <c r="U37">
        <f>ROUNDUP(K3 / 2,0)</f>
        <v>53</v>
      </c>
      <c r="V37">
        <v>53</v>
      </c>
      <c r="W37" s="7">
        <v>82.14</v>
      </c>
      <c r="X37" s="11" t="s">
        <v>33</v>
      </c>
      <c r="Y37" t="s">
        <v>42</v>
      </c>
      <c r="Z37" s="7">
        <f t="shared" si="8"/>
        <v>4353.42</v>
      </c>
    </row>
    <row r="38" spans="1:26" ht="12.5" x14ac:dyDescent="0.25">
      <c r="A38" s="9" t="s">
        <v>114</v>
      </c>
      <c r="B38" s="9">
        <v>2</v>
      </c>
      <c r="C38" s="9">
        <v>1.6</v>
      </c>
      <c r="D38" s="9">
        <f>C38+SUM($C$32:C37)</f>
        <v>27.8</v>
      </c>
      <c r="E38" s="9">
        <f t="shared" si="5"/>
        <v>55.6</v>
      </c>
      <c r="H38" s="9" t="s">
        <v>115</v>
      </c>
      <c r="I38" s="9">
        <v>2</v>
      </c>
      <c r="J38" s="9">
        <v>3.9</v>
      </c>
      <c r="K38" s="9">
        <f>J38+SUM($J$32:J37)</f>
        <v>17.5</v>
      </c>
      <c r="L38" s="9">
        <f t="shared" si="6"/>
        <v>35</v>
      </c>
      <c r="S38" s="26"/>
      <c r="T38" t="s">
        <v>46</v>
      </c>
      <c r="U38">
        <f>ROUNDUP(I3/2, 0)</f>
        <v>42</v>
      </c>
      <c r="V38">
        <v>42</v>
      </c>
      <c r="W38" s="7">
        <v>4.99</v>
      </c>
      <c r="X38" s="20" t="s">
        <v>38</v>
      </c>
      <c r="Y38" t="s">
        <v>47</v>
      </c>
      <c r="Z38" s="7">
        <f t="shared" si="8"/>
        <v>209.58</v>
      </c>
    </row>
    <row r="39" spans="1:26" ht="12.5" x14ac:dyDescent="0.25">
      <c r="A39" s="10" t="s">
        <v>116</v>
      </c>
      <c r="B39" s="10">
        <v>2</v>
      </c>
      <c r="C39" s="10">
        <v>5.3</v>
      </c>
      <c r="D39" s="10">
        <f>C39+SUM($C$32:C38)</f>
        <v>33.1</v>
      </c>
      <c r="E39" s="10">
        <f t="shared" si="5"/>
        <v>66.2</v>
      </c>
      <c r="H39" s="10" t="s">
        <v>117</v>
      </c>
      <c r="I39" s="10">
        <v>2</v>
      </c>
      <c r="J39" s="10">
        <f>2.8-3.2</f>
        <v>-0.40000000000000036</v>
      </c>
      <c r="K39" s="10">
        <f>J39+SUM($J$32:J38)</f>
        <v>17.100000000000001</v>
      </c>
      <c r="L39" s="10">
        <f t="shared" si="6"/>
        <v>34.200000000000003</v>
      </c>
      <c r="T39" t="s">
        <v>50</v>
      </c>
      <c r="U39">
        <f>B25+I21+I45+B46+B67+I66+I91+B89+B106+I102</f>
        <v>26</v>
      </c>
      <c r="V39">
        <f t="shared" ref="V39:V50" si="9">ROUNDUP(U39,0)</f>
        <v>26</v>
      </c>
      <c r="W39" s="7">
        <v>150.47</v>
      </c>
      <c r="X39" s="20" t="s">
        <v>43</v>
      </c>
      <c r="Y39" t="s">
        <v>51</v>
      </c>
      <c r="Z39" s="7">
        <f t="shared" si="8"/>
        <v>3912.22</v>
      </c>
    </row>
    <row r="40" spans="1:26" ht="12.5" x14ac:dyDescent="0.25">
      <c r="A40" s="9" t="s">
        <v>118</v>
      </c>
      <c r="B40" s="9">
        <v>2</v>
      </c>
      <c r="C40" s="9">
        <v>-2.5</v>
      </c>
      <c r="D40" s="9">
        <f>C40+SUM($C$32:C39)</f>
        <v>30.6</v>
      </c>
      <c r="E40" s="9">
        <f t="shared" si="5"/>
        <v>61.2</v>
      </c>
      <c r="H40" s="9" t="s">
        <v>119</v>
      </c>
      <c r="I40" s="9">
        <v>2</v>
      </c>
      <c r="J40" s="9">
        <v>1.4</v>
      </c>
      <c r="K40" s="9">
        <f>J40+SUM($J$32:J39)</f>
        <v>18.5</v>
      </c>
      <c r="L40" s="9">
        <f t="shared" si="6"/>
        <v>37</v>
      </c>
      <c r="S40" s="26"/>
      <c r="T40" t="s">
        <v>55</v>
      </c>
      <c r="U40">
        <f>E3</f>
        <v>121</v>
      </c>
      <c r="V40">
        <v>121</v>
      </c>
      <c r="W40" s="7">
        <v>6.68</v>
      </c>
      <c r="X40" s="20" t="s">
        <v>56</v>
      </c>
      <c r="Y40" t="s">
        <v>57</v>
      </c>
      <c r="Z40" s="7">
        <f t="shared" si="8"/>
        <v>808.28</v>
      </c>
    </row>
    <row r="41" spans="1:26" ht="12.5" x14ac:dyDescent="0.25">
      <c r="A41" s="10" t="s">
        <v>120</v>
      </c>
      <c r="B41" s="10">
        <v>2</v>
      </c>
      <c r="C41" s="10">
        <v>1.4</v>
      </c>
      <c r="D41" s="10">
        <f>C41+SUM($C$32:C40)</f>
        <v>32</v>
      </c>
      <c r="E41" s="10">
        <f t="shared" si="5"/>
        <v>64</v>
      </c>
      <c r="H41" s="10" t="s">
        <v>121</v>
      </c>
      <c r="I41" s="10">
        <v>8</v>
      </c>
      <c r="J41" s="10">
        <v>5.2</v>
      </c>
      <c r="K41" s="10">
        <f>J41+SUM($J$32:J40)</f>
        <v>23.7</v>
      </c>
      <c r="L41" s="10">
        <f t="shared" si="6"/>
        <v>189.6</v>
      </c>
      <c r="T41" t="s">
        <v>62</v>
      </c>
      <c r="U41">
        <f>(C3+C5)/305</f>
        <v>27.859672131147544</v>
      </c>
      <c r="V41">
        <v>28</v>
      </c>
      <c r="W41" s="7">
        <v>176.43</v>
      </c>
      <c r="X41" s="20" t="s">
        <v>52</v>
      </c>
      <c r="Y41" t="s">
        <v>63</v>
      </c>
      <c r="Z41" s="7">
        <f t="shared" si="8"/>
        <v>4940.04</v>
      </c>
    </row>
    <row r="42" spans="1:26" ht="12.5" x14ac:dyDescent="0.25">
      <c r="A42" s="9" t="s">
        <v>122</v>
      </c>
      <c r="B42" s="9">
        <v>8</v>
      </c>
      <c r="C42" s="9">
        <v>5.3</v>
      </c>
      <c r="D42" s="9">
        <f>C42+SUM($C$32:C41)</f>
        <v>37.299999999999997</v>
      </c>
      <c r="E42" s="9">
        <f t="shared" si="5"/>
        <v>298.39999999999998</v>
      </c>
      <c r="H42" s="9" t="s">
        <v>123</v>
      </c>
      <c r="I42" s="9">
        <v>1</v>
      </c>
      <c r="J42" s="9">
        <v>4.2</v>
      </c>
      <c r="K42" s="9">
        <f>J42+SUM($J$32:J41)</f>
        <v>27.9</v>
      </c>
      <c r="L42" s="9">
        <f t="shared" si="6"/>
        <v>27.9</v>
      </c>
      <c r="T42" t="s">
        <v>67</v>
      </c>
      <c r="U42">
        <f>ROUNDUP(C5/500, 0)</f>
        <v>4</v>
      </c>
      <c r="V42">
        <f t="shared" ref="V42:V50" si="10">ROUNDUP(U42,0)</f>
        <v>4</v>
      </c>
      <c r="W42" s="7">
        <v>351.64</v>
      </c>
      <c r="X42" s="20" t="s">
        <v>58</v>
      </c>
      <c r="Y42" t="s">
        <v>68</v>
      </c>
      <c r="Z42" s="7">
        <f t="shared" si="8"/>
        <v>1406.56</v>
      </c>
    </row>
    <row r="43" spans="1:26" ht="12.5" x14ac:dyDescent="0.25">
      <c r="A43" s="10" t="s">
        <v>124</v>
      </c>
      <c r="B43" s="10">
        <v>1</v>
      </c>
      <c r="C43" s="10">
        <v>4.2</v>
      </c>
      <c r="D43" s="10">
        <f>C43+SUM($C$32:C42)</f>
        <v>41.5</v>
      </c>
      <c r="E43" s="10">
        <f t="shared" si="5"/>
        <v>41.5</v>
      </c>
      <c r="H43" s="10" t="s">
        <v>125</v>
      </c>
      <c r="I43" s="10">
        <v>2</v>
      </c>
      <c r="J43" s="10">
        <f>5.7-4.2</f>
        <v>1.5</v>
      </c>
      <c r="K43" s="10">
        <f>J43+SUM($J$32:J42)</f>
        <v>29.4</v>
      </c>
      <c r="L43" s="10">
        <f t="shared" si="6"/>
        <v>58.8</v>
      </c>
      <c r="T43" t="s">
        <v>76</v>
      </c>
      <c r="U43">
        <v>1</v>
      </c>
      <c r="V43">
        <f>ROUNDUP(U43,0)</f>
        <v>1</v>
      </c>
      <c r="W43" s="7">
        <v>890.57</v>
      </c>
      <c r="X43" s="21" t="s">
        <v>77</v>
      </c>
      <c r="Y43" t="s">
        <v>78</v>
      </c>
      <c r="Z43" s="7">
        <f>V43*W43</f>
        <v>890.57</v>
      </c>
    </row>
    <row r="44" spans="1:26" ht="12.5" x14ac:dyDescent="0.25">
      <c r="A44" s="9" t="s">
        <v>126</v>
      </c>
      <c r="B44" s="9">
        <v>2</v>
      </c>
      <c r="C44" s="9">
        <f>(3.4+2.3)-4.2</f>
        <v>1.4999999999999991</v>
      </c>
      <c r="D44" s="9">
        <f>C44+SUM($C$32:C43)</f>
        <v>43</v>
      </c>
      <c r="E44" s="9">
        <f t="shared" si="5"/>
        <v>86</v>
      </c>
      <c r="G44" t="s">
        <v>94</v>
      </c>
      <c r="H44" s="9" t="s">
        <v>127</v>
      </c>
      <c r="I44" s="9">
        <v>2</v>
      </c>
      <c r="J44" s="9">
        <v>1.4</v>
      </c>
      <c r="K44" s="9">
        <f>J44+SUM($J$32:J43)</f>
        <v>30.799999999999997</v>
      </c>
      <c r="L44" s="9">
        <f t="shared" si="6"/>
        <v>61.599999999999994</v>
      </c>
      <c r="T44" t="s">
        <v>81</v>
      </c>
      <c r="U44">
        <f>U35</f>
        <v>19</v>
      </c>
      <c r="V44">
        <f>ROUNDUP(U44,0)</f>
        <v>19</v>
      </c>
      <c r="W44" s="7">
        <v>53.33</v>
      </c>
      <c r="X44" s="11" t="s">
        <v>82</v>
      </c>
      <c r="Y44" t="s">
        <v>83</v>
      </c>
      <c r="Z44" s="7">
        <f>V44*W44</f>
        <v>1013.27</v>
      </c>
    </row>
    <row r="45" spans="1:26" ht="12.5" x14ac:dyDescent="0.25">
      <c r="A45" s="10" t="s">
        <v>128</v>
      </c>
      <c r="B45" s="10">
        <v>2</v>
      </c>
      <c r="C45" s="10">
        <v>1.4</v>
      </c>
      <c r="D45" s="10">
        <f>C45+SUM($C$32:C44)</f>
        <v>44.4</v>
      </c>
      <c r="E45" s="10">
        <f t="shared" si="5"/>
        <v>88.8</v>
      </c>
      <c r="G45">
        <f>SUM(E32:E45)+SUM(L32:L44)</f>
        <v>1670.3999999999999</v>
      </c>
      <c r="H45" s="24" t="s">
        <v>85</v>
      </c>
      <c r="I45" s="9">
        <v>2</v>
      </c>
      <c r="T45" t="s">
        <v>86</v>
      </c>
      <c r="U45">
        <v>1</v>
      </c>
      <c r="V45">
        <f>ROUNDUP(U45,0)</f>
        <v>1</v>
      </c>
      <c r="W45" s="7">
        <v>292.5</v>
      </c>
      <c r="X45" s="21" t="s">
        <v>87</v>
      </c>
      <c r="Y45" t="s">
        <v>88</v>
      </c>
      <c r="Z45" s="7">
        <f>V45*W45</f>
        <v>292.5</v>
      </c>
    </row>
    <row r="46" spans="1:26" ht="12.5" x14ac:dyDescent="0.25">
      <c r="A46" s="24" t="s">
        <v>85</v>
      </c>
      <c r="B46" s="9">
        <v>3</v>
      </c>
      <c r="I46" t="s">
        <v>95</v>
      </c>
      <c r="J46" t="s">
        <v>96</v>
      </c>
      <c r="T46" t="s">
        <v>90</v>
      </c>
      <c r="U46">
        <f>I90/2</f>
        <v>25.5</v>
      </c>
      <c r="V46">
        <v>26</v>
      </c>
      <c r="W46" s="30">
        <v>11.72</v>
      </c>
      <c r="X46" s="21" t="s">
        <v>91</v>
      </c>
      <c r="Y46" t="s">
        <v>92</v>
      </c>
      <c r="Z46" s="32">
        <f>V46*W46</f>
        <v>304.72000000000003</v>
      </c>
    </row>
    <row r="47" spans="1:26" ht="12.5" x14ac:dyDescent="0.25">
      <c r="I47">
        <f>SUM(B33,B34,B35,B37,B38,B39,B40,B41,B42,B44,B45,I32,I33,I34,I36,I37,I38,I39,I40,I41,I43,I44)/2</f>
        <v>34</v>
      </c>
      <c r="J47">
        <f>SUM(B32,B36,B43,I35,I42)</f>
        <v>5</v>
      </c>
      <c r="W47" s="30"/>
      <c r="X47" s="21"/>
      <c r="Z47" s="29" t="s">
        <v>100</v>
      </c>
    </row>
    <row r="48" spans="1:26" ht="12.75" customHeight="1" x14ac:dyDescent="0.3">
      <c r="Y48" s="31"/>
      <c r="Z48" s="28">
        <f>SUM(Z34:Z45)</f>
        <v>31500.960000000006</v>
      </c>
    </row>
    <row r="49" spans="1:26" ht="12.75" customHeight="1" x14ac:dyDescent="0.25">
      <c r="X49" s="7"/>
    </row>
    <row r="50" spans="1:26" ht="12.5" x14ac:dyDescent="0.25">
      <c r="C50" s="3" t="s">
        <v>129</v>
      </c>
    </row>
    <row r="51" spans="1:26" ht="13" x14ac:dyDescent="0.3">
      <c r="B51" s="3" t="s">
        <v>19</v>
      </c>
      <c r="H51" s="3" t="s">
        <v>20</v>
      </c>
      <c r="Z51" s="28"/>
    </row>
    <row r="52" spans="1:26" ht="12.5" x14ac:dyDescent="0.25">
      <c r="A52" s="8" t="s">
        <v>25</v>
      </c>
      <c r="B52" s="8" t="s">
        <v>26</v>
      </c>
      <c r="C52" s="8" t="s">
        <v>27</v>
      </c>
      <c r="D52" s="8" t="s">
        <v>28</v>
      </c>
      <c r="E52" s="8" t="s">
        <v>29</v>
      </c>
      <c r="H52" s="8" t="s">
        <v>25</v>
      </c>
      <c r="I52" s="8" t="s">
        <v>26</v>
      </c>
      <c r="J52" s="8" t="s">
        <v>30</v>
      </c>
      <c r="K52" s="8" t="s">
        <v>28</v>
      </c>
      <c r="L52" s="8" t="s">
        <v>29</v>
      </c>
    </row>
    <row r="53" spans="1:26" ht="12.5" x14ac:dyDescent="0.25">
      <c r="A53" s="9" t="s">
        <v>130</v>
      </c>
      <c r="B53" s="9">
        <v>1</v>
      </c>
      <c r="C53" s="9">
        <v>15</v>
      </c>
      <c r="D53" s="9">
        <f>C53</f>
        <v>15</v>
      </c>
      <c r="E53" s="9">
        <f t="shared" ref="E53:E66" si="11">B53*D53</f>
        <v>15</v>
      </c>
      <c r="H53" s="9" t="s">
        <v>131</v>
      </c>
      <c r="I53" s="9">
        <v>2</v>
      </c>
      <c r="J53" s="9">
        <v>8.1999999999999993</v>
      </c>
      <c r="K53" s="9">
        <f>J53</f>
        <v>8.1999999999999993</v>
      </c>
      <c r="L53" s="9">
        <f t="shared" ref="L53:L65" si="12">I53*K53</f>
        <v>16.399999999999999</v>
      </c>
    </row>
    <row r="54" spans="1:26" ht="12.5" x14ac:dyDescent="0.25">
      <c r="A54" s="10" t="s">
        <v>132</v>
      </c>
      <c r="B54" s="10">
        <v>2</v>
      </c>
      <c r="C54" s="10">
        <v>7.4</v>
      </c>
      <c r="D54" s="10">
        <f>C54+SUM($C$53:C53)</f>
        <v>22.4</v>
      </c>
      <c r="E54" s="10">
        <f t="shared" si="11"/>
        <v>44.8</v>
      </c>
      <c r="H54" s="10" t="s">
        <v>133</v>
      </c>
      <c r="I54" s="10">
        <v>2</v>
      </c>
      <c r="J54" s="10">
        <v>1.6</v>
      </c>
      <c r="K54" s="10">
        <f>J54+SUM($J$53:J53)</f>
        <v>9.7999999999999989</v>
      </c>
      <c r="L54" s="10">
        <f t="shared" si="12"/>
        <v>19.599999999999998</v>
      </c>
    </row>
    <row r="55" spans="1:26" ht="12.5" x14ac:dyDescent="0.25">
      <c r="A55" s="9" t="s">
        <v>134</v>
      </c>
      <c r="B55" s="9">
        <v>2</v>
      </c>
      <c r="C55" s="9">
        <v>1.6</v>
      </c>
      <c r="D55" s="9">
        <f>C55+SUM($C$53:C54)</f>
        <v>24</v>
      </c>
      <c r="E55" s="9">
        <f t="shared" si="11"/>
        <v>48</v>
      </c>
      <c r="H55" s="9" t="s">
        <v>135</v>
      </c>
      <c r="I55" s="9">
        <v>8</v>
      </c>
      <c r="J55" s="9">
        <v>0.8</v>
      </c>
      <c r="K55" s="9">
        <f>J55+SUM($J$53:J54)</f>
        <v>10.6</v>
      </c>
      <c r="L55" s="9">
        <f t="shared" si="12"/>
        <v>84.8</v>
      </c>
    </row>
    <row r="56" spans="1:26" ht="12.5" x14ac:dyDescent="0.25">
      <c r="A56" s="10" t="s">
        <v>136</v>
      </c>
      <c r="B56" s="10">
        <v>8</v>
      </c>
      <c r="C56" s="10">
        <v>0.8</v>
      </c>
      <c r="D56" s="10">
        <f>C56+SUM($C$53:C55)</f>
        <v>24.8</v>
      </c>
      <c r="E56" s="10">
        <f t="shared" si="11"/>
        <v>198.4</v>
      </c>
      <c r="H56" s="10" t="s">
        <v>137</v>
      </c>
      <c r="I56" s="10">
        <v>1</v>
      </c>
      <c r="J56" s="10">
        <v>4.2</v>
      </c>
      <c r="K56" s="10">
        <f>J56+SUM($J$53:J55)</f>
        <v>14.8</v>
      </c>
      <c r="L56" s="10">
        <f t="shared" si="12"/>
        <v>14.8</v>
      </c>
    </row>
    <row r="57" spans="1:26" ht="12.5" x14ac:dyDescent="0.25">
      <c r="A57" s="9" t="s">
        <v>138</v>
      </c>
      <c r="B57" s="9">
        <v>1</v>
      </c>
      <c r="C57" s="9">
        <v>4.2</v>
      </c>
      <c r="D57" s="9">
        <f>C57+SUM($C$53:C56)</f>
        <v>29</v>
      </c>
      <c r="E57" s="9">
        <f t="shared" si="11"/>
        <v>29</v>
      </c>
      <c r="H57" s="9" t="s">
        <v>139</v>
      </c>
      <c r="I57" s="9">
        <v>2</v>
      </c>
      <c r="J57" s="9">
        <f>(3.3+2.7)-4.2</f>
        <v>1.7999999999999998</v>
      </c>
      <c r="K57" s="9">
        <f>J57+SUM($J$53:J56)</f>
        <v>16.600000000000001</v>
      </c>
      <c r="L57" s="9">
        <f t="shared" si="12"/>
        <v>33.200000000000003</v>
      </c>
    </row>
    <row r="58" spans="1:26" ht="12.5" x14ac:dyDescent="0.25">
      <c r="A58" s="10" t="s">
        <v>140</v>
      </c>
      <c r="B58" s="10">
        <v>2</v>
      </c>
      <c r="C58" s="10">
        <v>1.8</v>
      </c>
      <c r="D58" s="10">
        <f>C58+SUM($C$53:C57)</f>
        <v>30.8</v>
      </c>
      <c r="E58" s="10">
        <f t="shared" si="11"/>
        <v>61.6</v>
      </c>
      <c r="H58" s="10" t="s">
        <v>141</v>
      </c>
      <c r="I58" s="10">
        <v>2</v>
      </c>
      <c r="J58" s="10">
        <v>1.6</v>
      </c>
      <c r="K58" s="10">
        <f>J58+SUM($J$53:J57)</f>
        <v>18.200000000000003</v>
      </c>
      <c r="L58" s="10">
        <f t="shared" si="12"/>
        <v>36.400000000000006</v>
      </c>
    </row>
    <row r="59" spans="1:26" ht="12.5" x14ac:dyDescent="0.25">
      <c r="A59" s="9" t="s">
        <v>142</v>
      </c>
      <c r="B59" s="9">
        <v>2</v>
      </c>
      <c r="C59" s="9">
        <v>1.6</v>
      </c>
      <c r="D59" s="9">
        <f>C59+SUM($C$53:C58)</f>
        <v>32.4</v>
      </c>
      <c r="E59" s="9">
        <f t="shared" si="11"/>
        <v>64.8</v>
      </c>
      <c r="H59" s="9" t="s">
        <v>143</v>
      </c>
      <c r="I59" s="9">
        <v>2</v>
      </c>
      <c r="J59" s="9">
        <v>3.9</v>
      </c>
      <c r="K59" s="9">
        <f>J59+SUM($J$53:J58)</f>
        <v>22.1</v>
      </c>
      <c r="L59" s="9">
        <f t="shared" si="12"/>
        <v>44.2</v>
      </c>
    </row>
    <row r="60" spans="1:26" ht="12.5" x14ac:dyDescent="0.25">
      <c r="A60" s="10" t="s">
        <v>144</v>
      </c>
      <c r="B60" s="10">
        <v>2</v>
      </c>
      <c r="C60" s="10">
        <v>5.3</v>
      </c>
      <c r="D60" s="10">
        <f>C60+SUM($C$53:C59)</f>
        <v>37.699999999999996</v>
      </c>
      <c r="E60" s="10">
        <f t="shared" si="11"/>
        <v>75.399999999999991</v>
      </c>
      <c r="H60" s="10" t="s">
        <v>145</v>
      </c>
      <c r="I60" s="10">
        <v>2</v>
      </c>
      <c r="J60" s="10">
        <f>2.8-3.2</f>
        <v>-0.40000000000000036</v>
      </c>
      <c r="K60" s="10">
        <f>J60+SUM($J$53:J59)</f>
        <v>21.700000000000003</v>
      </c>
      <c r="L60" s="10">
        <f t="shared" si="12"/>
        <v>43.400000000000006</v>
      </c>
    </row>
    <row r="61" spans="1:26" ht="12.5" x14ac:dyDescent="0.25">
      <c r="A61" s="9" t="s">
        <v>146</v>
      </c>
      <c r="B61" s="9">
        <v>2</v>
      </c>
      <c r="C61" s="9">
        <v>-2.5</v>
      </c>
      <c r="D61" s="9">
        <f>C61+SUM($C$53:C60)</f>
        <v>35.199999999999996</v>
      </c>
      <c r="E61" s="9">
        <f t="shared" si="11"/>
        <v>70.399999999999991</v>
      </c>
      <c r="H61" s="9" t="s">
        <v>147</v>
      </c>
      <c r="I61" s="9">
        <v>2</v>
      </c>
      <c r="J61" s="9">
        <v>1.4</v>
      </c>
      <c r="K61" s="9">
        <f>J61+SUM($J$53:J60)</f>
        <v>23.1</v>
      </c>
      <c r="L61" s="9">
        <f t="shared" si="12"/>
        <v>46.2</v>
      </c>
    </row>
    <row r="62" spans="1:26" ht="12.5" x14ac:dyDescent="0.25">
      <c r="A62" s="10" t="s">
        <v>148</v>
      </c>
      <c r="B62" s="10">
        <v>2</v>
      </c>
      <c r="C62" s="10">
        <v>1.4</v>
      </c>
      <c r="D62" s="10">
        <f>C62+SUM($C$53:C61)</f>
        <v>36.599999999999994</v>
      </c>
      <c r="E62" s="10">
        <f t="shared" si="11"/>
        <v>73.199999999999989</v>
      </c>
      <c r="H62" s="10" t="s">
        <v>149</v>
      </c>
      <c r="I62" s="10">
        <v>8</v>
      </c>
      <c r="J62" s="10">
        <v>5.2</v>
      </c>
      <c r="K62" s="10">
        <f>J62+SUM($J$53:J61)</f>
        <v>28.3</v>
      </c>
      <c r="L62" s="10">
        <f t="shared" si="12"/>
        <v>226.4</v>
      </c>
    </row>
    <row r="63" spans="1:26" ht="12.5" x14ac:dyDescent="0.25">
      <c r="A63" s="9" t="s">
        <v>150</v>
      </c>
      <c r="B63" s="9">
        <v>8</v>
      </c>
      <c r="C63" s="9">
        <v>5.3</v>
      </c>
      <c r="D63" s="9">
        <f>C63+SUM($C$53:C62)</f>
        <v>41.899999999999991</v>
      </c>
      <c r="E63" s="9">
        <f t="shared" si="11"/>
        <v>335.19999999999993</v>
      </c>
      <c r="H63" s="9" t="s">
        <v>151</v>
      </c>
      <c r="I63" s="9">
        <v>1</v>
      </c>
      <c r="J63" s="9">
        <v>4.2</v>
      </c>
      <c r="K63" s="9">
        <f>J63+SUM($J$53:J62)</f>
        <v>32.5</v>
      </c>
      <c r="L63" s="9">
        <f t="shared" si="12"/>
        <v>32.5</v>
      </c>
    </row>
    <row r="64" spans="1:26" ht="12.5" x14ac:dyDescent="0.25">
      <c r="A64" s="10" t="s">
        <v>152</v>
      </c>
      <c r="B64" s="10">
        <v>1</v>
      </c>
      <c r="C64" s="10">
        <v>4.2</v>
      </c>
      <c r="D64" s="10">
        <f>C64+SUM($C$53:C63)</f>
        <v>46.099999999999994</v>
      </c>
      <c r="E64" s="10">
        <f t="shared" si="11"/>
        <v>46.099999999999994</v>
      </c>
      <c r="H64" s="10" t="s">
        <v>153</v>
      </c>
      <c r="I64" s="10">
        <v>2</v>
      </c>
      <c r="J64" s="10">
        <f>5.7-4.2</f>
        <v>1.5</v>
      </c>
      <c r="K64" s="10">
        <f>J64+SUM($J$53:J63)</f>
        <v>34</v>
      </c>
      <c r="L64" s="10">
        <f t="shared" si="12"/>
        <v>68</v>
      </c>
    </row>
    <row r="65" spans="1:14" ht="12.5" x14ac:dyDescent="0.25">
      <c r="A65" s="9" t="s">
        <v>154</v>
      </c>
      <c r="B65" s="9">
        <v>2</v>
      </c>
      <c r="C65" s="9">
        <f>(3.4+2.3)-4.2</f>
        <v>1.4999999999999991</v>
      </c>
      <c r="D65" s="9">
        <f>C65+SUM($C$53:C64)</f>
        <v>47.599999999999994</v>
      </c>
      <c r="E65" s="9">
        <f t="shared" si="11"/>
        <v>95.199999999999989</v>
      </c>
      <c r="G65" t="s">
        <v>94</v>
      </c>
      <c r="H65" s="9" t="s">
        <v>155</v>
      </c>
      <c r="I65" s="9">
        <v>2</v>
      </c>
      <c r="J65" s="9">
        <v>1.4</v>
      </c>
      <c r="K65" s="9">
        <f>J65+SUM($J$53:J64)</f>
        <v>35.4</v>
      </c>
      <c r="L65" s="9">
        <f t="shared" si="12"/>
        <v>70.8</v>
      </c>
    </row>
    <row r="66" spans="1:14" ht="12.5" x14ac:dyDescent="0.25">
      <c r="A66" s="10" t="s">
        <v>156</v>
      </c>
      <c r="B66" s="10">
        <v>2</v>
      </c>
      <c r="C66" s="10">
        <v>1.4</v>
      </c>
      <c r="D66" s="10">
        <f>C66+SUM($C$53:C65)</f>
        <v>48.999999999999993</v>
      </c>
      <c r="E66" s="10">
        <f t="shared" si="11"/>
        <v>97.999999999999986</v>
      </c>
      <c r="G66">
        <f>SUM(E53:E66)+SUM(L53:L65)</f>
        <v>1991.8</v>
      </c>
      <c r="H66" s="24" t="s">
        <v>85</v>
      </c>
      <c r="I66" s="9">
        <v>2</v>
      </c>
    </row>
    <row r="67" spans="1:14" ht="12.5" x14ac:dyDescent="0.25">
      <c r="A67" s="24" t="s">
        <v>85</v>
      </c>
      <c r="B67" s="9">
        <v>3</v>
      </c>
      <c r="I67" t="s">
        <v>157</v>
      </c>
      <c r="J67" t="s">
        <v>158</v>
      </c>
    </row>
    <row r="68" spans="1:14" ht="12.5" x14ac:dyDescent="0.25">
      <c r="I68">
        <f>SUM(B54,B55,B56,B58,B59,B60,B61,B62,B63,B65,B66,I53,I54,I55,I57,I58,I59,I60,I61,I62,I64,I65)/2</f>
        <v>34</v>
      </c>
      <c r="J68">
        <f>SUM(B53,B57,B64,I56,I63)</f>
        <v>5</v>
      </c>
    </row>
    <row r="71" spans="1:14" ht="12.5" x14ac:dyDescent="0.25">
      <c r="C71" s="12" t="s">
        <v>159</v>
      </c>
    </row>
    <row r="72" spans="1:14" ht="12.5" x14ac:dyDescent="0.25">
      <c r="B72" t="s">
        <v>19</v>
      </c>
      <c r="I72" t="s">
        <v>20</v>
      </c>
    </row>
    <row r="73" spans="1:14" ht="12.5" x14ac:dyDescent="0.25">
      <c r="A73" s="8" t="s">
        <v>25</v>
      </c>
      <c r="B73" s="8" t="s">
        <v>26</v>
      </c>
      <c r="C73" s="8" t="s">
        <v>27</v>
      </c>
      <c r="D73" s="8" t="s">
        <v>28</v>
      </c>
      <c r="E73" s="8" t="s">
        <v>29</v>
      </c>
      <c r="H73" s="8" t="s">
        <v>25</v>
      </c>
      <c r="I73" s="8" t="s">
        <v>26</v>
      </c>
      <c r="J73" s="8" t="s">
        <v>30</v>
      </c>
      <c r="K73" s="8" t="s">
        <v>28</v>
      </c>
      <c r="L73" s="8" t="s">
        <v>29</v>
      </c>
      <c r="N73" t="s">
        <v>160</v>
      </c>
    </row>
    <row r="74" spans="1:14" ht="12.5" x14ac:dyDescent="0.25">
      <c r="A74" s="9" t="s">
        <v>161</v>
      </c>
      <c r="B74" s="9">
        <v>4</v>
      </c>
      <c r="C74" s="9">
        <f>0.2+1.9+2.3</f>
        <v>4.4000000000000004</v>
      </c>
      <c r="D74" s="9">
        <f>C74</f>
        <v>4.4000000000000004</v>
      </c>
      <c r="E74" s="9">
        <f t="shared" ref="E74:E88" si="13">B74*D74</f>
        <v>17.600000000000001</v>
      </c>
      <c r="H74" s="9" t="s">
        <v>162</v>
      </c>
      <c r="I74" s="9">
        <v>4</v>
      </c>
      <c r="J74" s="9">
        <f>0.2+1+16+1+2.3</f>
        <v>20.5</v>
      </c>
      <c r="K74" s="9">
        <f>J74</f>
        <v>20.5</v>
      </c>
      <c r="L74" s="9">
        <f t="shared" ref="L74:L88" si="14">I74*K74</f>
        <v>82</v>
      </c>
    </row>
    <row r="75" spans="1:14" ht="12.5" x14ac:dyDescent="0.25">
      <c r="A75" s="10" t="s">
        <v>163</v>
      </c>
      <c r="B75" s="10">
        <v>4</v>
      </c>
      <c r="C75" s="10">
        <v>1.5</v>
      </c>
      <c r="D75" s="10">
        <f>C75+SUM($C$74:C74)</f>
        <v>5.9</v>
      </c>
      <c r="E75" s="10">
        <f t="shared" si="13"/>
        <v>23.6</v>
      </c>
      <c r="H75" s="10" t="s">
        <v>164</v>
      </c>
      <c r="I75" s="10">
        <v>4</v>
      </c>
      <c r="J75" s="10">
        <v>1.5</v>
      </c>
      <c r="K75" s="10">
        <f>J75+SUM($J$74:J74)</f>
        <v>22</v>
      </c>
      <c r="L75" s="10">
        <f t="shared" si="14"/>
        <v>88</v>
      </c>
      <c r="N75">
        <f>29</f>
        <v>29</v>
      </c>
    </row>
    <row r="76" spans="1:14" ht="12.5" x14ac:dyDescent="0.25">
      <c r="A76" s="9" t="s">
        <v>165</v>
      </c>
      <c r="B76" s="9">
        <v>4</v>
      </c>
      <c r="C76" s="9">
        <v>3.7</v>
      </c>
      <c r="D76" s="9">
        <f>C76+SUM($C$74:C75)</f>
        <v>9.6000000000000014</v>
      </c>
      <c r="E76" s="9">
        <f t="shared" si="13"/>
        <v>38.400000000000006</v>
      </c>
      <c r="H76" s="9" t="s">
        <v>166</v>
      </c>
      <c r="I76" s="9">
        <v>4</v>
      </c>
      <c r="J76" s="9">
        <v>3.7</v>
      </c>
      <c r="K76" s="9">
        <f>J76+SUM($J$74:J75)</f>
        <v>25.7</v>
      </c>
      <c r="L76" s="9">
        <f t="shared" si="14"/>
        <v>102.8</v>
      </c>
    </row>
    <row r="77" spans="1:14" ht="12.5" x14ac:dyDescent="0.25">
      <c r="A77" s="10" t="s">
        <v>167</v>
      </c>
      <c r="B77" s="10">
        <v>4</v>
      </c>
      <c r="C77" s="10">
        <v>1.3</v>
      </c>
      <c r="D77" s="10">
        <f>C77+SUM($C$74:C76)</f>
        <v>10.900000000000002</v>
      </c>
      <c r="E77" s="10">
        <f t="shared" si="13"/>
        <v>43.600000000000009</v>
      </c>
      <c r="H77" s="10" t="s">
        <v>168</v>
      </c>
      <c r="I77" s="10">
        <v>4</v>
      </c>
      <c r="J77" s="10">
        <v>1.3</v>
      </c>
      <c r="K77" s="10">
        <f>J77+SUM($J$74:J76)</f>
        <v>27</v>
      </c>
      <c r="L77" s="10">
        <f t="shared" si="14"/>
        <v>108</v>
      </c>
    </row>
    <row r="78" spans="1:14" ht="12.5" x14ac:dyDescent="0.25">
      <c r="A78" s="9" t="s">
        <v>169</v>
      </c>
      <c r="B78" s="9">
        <v>4</v>
      </c>
      <c r="C78" s="9">
        <v>3.7</v>
      </c>
      <c r="D78" s="9">
        <f>C78+SUM($C$74:C77)</f>
        <v>14.600000000000001</v>
      </c>
      <c r="E78" s="9">
        <f t="shared" si="13"/>
        <v>58.400000000000006</v>
      </c>
      <c r="H78" s="9" t="s">
        <v>170</v>
      </c>
      <c r="I78" s="9">
        <v>4</v>
      </c>
      <c r="J78" s="9">
        <v>3.7</v>
      </c>
      <c r="K78" s="9">
        <f>J78+SUM($J$74:J77)</f>
        <v>30.7</v>
      </c>
      <c r="L78" s="9">
        <f t="shared" si="14"/>
        <v>122.8</v>
      </c>
    </row>
    <row r="79" spans="1:14" ht="12.5" x14ac:dyDescent="0.25">
      <c r="A79" s="10" t="s">
        <v>171</v>
      </c>
      <c r="B79" s="10">
        <v>4</v>
      </c>
      <c r="C79" s="10">
        <v>1.5</v>
      </c>
      <c r="D79" s="10">
        <f>C79+SUM($C$74:C78)</f>
        <v>16.100000000000001</v>
      </c>
      <c r="E79" s="10">
        <f t="shared" si="13"/>
        <v>64.400000000000006</v>
      </c>
      <c r="H79" s="10" t="s">
        <v>172</v>
      </c>
      <c r="I79" s="10">
        <v>4</v>
      </c>
      <c r="J79" s="10">
        <v>1.5</v>
      </c>
      <c r="K79" s="10">
        <f>J79+SUM($J$74:J78)</f>
        <v>32.200000000000003</v>
      </c>
      <c r="L79" s="10">
        <f t="shared" si="14"/>
        <v>128.80000000000001</v>
      </c>
    </row>
    <row r="80" spans="1:14" ht="12.5" x14ac:dyDescent="0.25">
      <c r="A80" s="9" t="s">
        <v>173</v>
      </c>
      <c r="B80" s="9">
        <v>4</v>
      </c>
      <c r="C80" s="9">
        <f>2.3-(D79-0.2)</f>
        <v>-13.600000000000001</v>
      </c>
      <c r="D80" s="9">
        <f>C80+SUM($C$74:C79)</f>
        <v>2.5</v>
      </c>
      <c r="E80" s="9">
        <f t="shared" si="13"/>
        <v>10</v>
      </c>
      <c r="H80" s="9" t="s">
        <v>174</v>
      </c>
      <c r="I80" s="9">
        <v>4</v>
      </c>
      <c r="J80" s="9">
        <f>0.2+1+16+1+2.3-K79</f>
        <v>-11.700000000000003</v>
      </c>
      <c r="K80" s="9">
        <f>J80+SUM($J$74:J79)</f>
        <v>20.5</v>
      </c>
      <c r="L80" s="9">
        <f t="shared" si="14"/>
        <v>82</v>
      </c>
    </row>
    <row r="81" spans="1:12" ht="12.5" x14ac:dyDescent="0.25">
      <c r="A81" s="10" t="s">
        <v>175</v>
      </c>
      <c r="B81" s="10">
        <v>4</v>
      </c>
      <c r="C81" s="10">
        <v>1.5</v>
      </c>
      <c r="D81" s="10">
        <f>C81+SUM($C$74:C80)</f>
        <v>4</v>
      </c>
      <c r="E81" s="10">
        <f t="shared" si="13"/>
        <v>16</v>
      </c>
      <c r="H81" s="10" t="s">
        <v>176</v>
      </c>
      <c r="I81" s="10">
        <v>4</v>
      </c>
      <c r="J81" s="10">
        <v>1.5</v>
      </c>
      <c r="K81" s="10">
        <f>J81+SUM($J$74:J80)</f>
        <v>22</v>
      </c>
      <c r="L81" s="10">
        <f t="shared" si="14"/>
        <v>88</v>
      </c>
    </row>
    <row r="82" spans="1:12" ht="12.5" x14ac:dyDescent="0.25">
      <c r="A82" s="9" t="s">
        <v>177</v>
      </c>
      <c r="B82" s="9">
        <v>4</v>
      </c>
      <c r="C82" s="9">
        <v>3.7</v>
      </c>
      <c r="D82" s="9">
        <f>C82+SUM($C$74:C81)</f>
        <v>7.7</v>
      </c>
      <c r="E82" s="9">
        <f t="shared" si="13"/>
        <v>30.8</v>
      </c>
      <c r="H82" s="9" t="s">
        <v>178</v>
      </c>
      <c r="I82" s="9">
        <v>4</v>
      </c>
      <c r="J82" s="9">
        <v>3.7</v>
      </c>
      <c r="K82" s="9">
        <f>J82+SUM($J$74:J81)</f>
        <v>25.7</v>
      </c>
      <c r="L82" s="9">
        <f t="shared" si="14"/>
        <v>102.8</v>
      </c>
    </row>
    <row r="83" spans="1:12" ht="12.5" x14ac:dyDescent="0.25">
      <c r="A83" s="10" t="s">
        <v>179</v>
      </c>
      <c r="B83" s="10">
        <v>4</v>
      </c>
      <c r="C83" s="10">
        <v>1.3</v>
      </c>
      <c r="D83" s="10">
        <f>C83+SUM($C$74:C82)</f>
        <v>9</v>
      </c>
      <c r="E83" s="10">
        <f t="shared" si="13"/>
        <v>36</v>
      </c>
      <c r="H83" s="10" t="s">
        <v>180</v>
      </c>
      <c r="I83" s="10">
        <v>4</v>
      </c>
      <c r="J83" s="10">
        <v>1.3</v>
      </c>
      <c r="K83" s="10">
        <f>J83+SUM($J$74:J82)</f>
        <v>27</v>
      </c>
      <c r="L83" s="10">
        <f t="shared" si="14"/>
        <v>108</v>
      </c>
    </row>
    <row r="84" spans="1:12" ht="12.5" x14ac:dyDescent="0.25">
      <c r="A84" s="9" t="s">
        <v>181</v>
      </c>
      <c r="B84" s="9">
        <v>4</v>
      </c>
      <c r="C84" s="9">
        <v>3.7</v>
      </c>
      <c r="D84" s="9">
        <f>C84+SUM($C$74:C83)</f>
        <v>12.7</v>
      </c>
      <c r="E84" s="9">
        <f t="shared" si="13"/>
        <v>50.8</v>
      </c>
      <c r="H84" s="9" t="s">
        <v>182</v>
      </c>
      <c r="I84" s="9">
        <v>4</v>
      </c>
      <c r="J84" s="9">
        <v>3.7</v>
      </c>
      <c r="K84" s="9">
        <f>J84+SUM($J$74:J83)</f>
        <v>30.7</v>
      </c>
      <c r="L84" s="9">
        <f t="shared" si="14"/>
        <v>122.8</v>
      </c>
    </row>
    <row r="85" spans="1:12" ht="12.5" x14ac:dyDescent="0.25">
      <c r="A85" s="10" t="s">
        <v>183</v>
      </c>
      <c r="B85" s="10">
        <v>4</v>
      </c>
      <c r="C85" s="10">
        <v>1.5</v>
      </c>
      <c r="D85" s="10">
        <f>C85+SUM($C$74:C84)</f>
        <v>14.2</v>
      </c>
      <c r="E85" s="10">
        <f t="shared" si="13"/>
        <v>56.8</v>
      </c>
      <c r="H85" s="10" t="s">
        <v>184</v>
      </c>
      <c r="I85" s="10">
        <v>4</v>
      </c>
      <c r="J85" s="10">
        <v>1.5</v>
      </c>
      <c r="K85" s="10">
        <f>J85+SUM($J$74:J84)</f>
        <v>32.200000000000003</v>
      </c>
      <c r="L85" s="10">
        <f t="shared" si="14"/>
        <v>128.80000000000001</v>
      </c>
    </row>
    <row r="86" spans="1:12" ht="12.5" x14ac:dyDescent="0.25">
      <c r="A86" s="9" t="s">
        <v>185</v>
      </c>
      <c r="B86" s="9">
        <v>1</v>
      </c>
      <c r="C86" s="9">
        <f>4.3-D85</f>
        <v>-9.8999999999999986</v>
      </c>
      <c r="D86" s="9">
        <f>C86+SUM($C$74:C85)</f>
        <v>4.3000000000000007</v>
      </c>
      <c r="E86" s="9">
        <f t="shared" si="13"/>
        <v>4.3000000000000007</v>
      </c>
      <c r="G86" t="s">
        <v>186</v>
      </c>
      <c r="H86" s="9" t="s">
        <v>187</v>
      </c>
      <c r="I86" s="9">
        <v>2</v>
      </c>
      <c r="J86" s="9">
        <f>0.2+1+14.5+2.7-K85</f>
        <v>-13.800000000000004</v>
      </c>
      <c r="K86" s="9">
        <f>J86+SUM($J$74:J85)</f>
        <v>18.399999999999999</v>
      </c>
      <c r="L86" s="9">
        <f t="shared" si="14"/>
        <v>36.799999999999997</v>
      </c>
    </row>
    <row r="87" spans="1:12" ht="12.5" x14ac:dyDescent="0.25">
      <c r="A87" s="10" t="s">
        <v>188</v>
      </c>
      <c r="B87" s="10">
        <v>4</v>
      </c>
      <c r="C87" s="10">
        <f>2-1.6</f>
        <v>0.39999999999999991</v>
      </c>
      <c r="D87" s="10">
        <f>C87+SUM($C$74:C86)</f>
        <v>4.7000000000000011</v>
      </c>
      <c r="E87" s="10">
        <f t="shared" si="13"/>
        <v>18.800000000000004</v>
      </c>
      <c r="G87" t="s">
        <v>94</v>
      </c>
      <c r="H87" s="10" t="s">
        <v>189</v>
      </c>
      <c r="I87" s="10">
        <v>2</v>
      </c>
      <c r="J87" s="10">
        <f>(0.2+1+14.5+1+2)-K86</f>
        <v>0.30000000000000071</v>
      </c>
      <c r="K87" s="10">
        <f>J87+SUM($J$74:J86)</f>
        <v>18.7</v>
      </c>
      <c r="L87" s="10">
        <f t="shared" si="14"/>
        <v>37.4</v>
      </c>
    </row>
    <row r="88" spans="1:12" ht="12.5" x14ac:dyDescent="0.25">
      <c r="A88" s="9" t="s">
        <v>190</v>
      </c>
      <c r="B88" s="9">
        <v>1</v>
      </c>
      <c r="C88" s="9">
        <f>0.2+1+2.7+2.7-D87</f>
        <v>1.8999999999999995</v>
      </c>
      <c r="D88" s="9">
        <f>C88+SUM($C$74:C87)</f>
        <v>6.6000000000000005</v>
      </c>
      <c r="E88" s="9">
        <f t="shared" si="13"/>
        <v>6.6000000000000005</v>
      </c>
      <c r="G88">
        <f>SUM(E74:E88)+SUM(L74:L88)</f>
        <v>1824.3000000000002</v>
      </c>
      <c r="H88" s="9" t="s">
        <v>191</v>
      </c>
      <c r="I88" s="9">
        <v>1</v>
      </c>
      <c r="J88" s="9">
        <v>-16</v>
      </c>
      <c r="K88" s="9">
        <v>9.1999999999999993</v>
      </c>
      <c r="L88" s="9">
        <f t="shared" si="14"/>
        <v>9.1999999999999993</v>
      </c>
    </row>
    <row r="89" spans="1:12" ht="12.5" x14ac:dyDescent="0.25">
      <c r="A89" s="24" t="s">
        <v>85</v>
      </c>
      <c r="B89" s="9">
        <v>2</v>
      </c>
      <c r="I89" t="s">
        <v>192</v>
      </c>
      <c r="J89" t="s">
        <v>193</v>
      </c>
    </row>
    <row r="90" spans="1:12" ht="12.5" x14ac:dyDescent="0.25">
      <c r="I90">
        <f>SUM(B74:B85,B87,I74:I85,I87)/2</f>
        <v>51</v>
      </c>
      <c r="J90">
        <f>SUM(B86,B88,I86,I88)</f>
        <v>5</v>
      </c>
    </row>
    <row r="91" spans="1:12" ht="12.5" x14ac:dyDescent="0.25">
      <c r="C91" s="3" t="s">
        <v>194</v>
      </c>
      <c r="H91" s="24" t="s">
        <v>85</v>
      </c>
      <c r="I91" s="9">
        <v>3</v>
      </c>
    </row>
    <row r="92" spans="1:12" ht="12.5" x14ac:dyDescent="0.25">
      <c r="B92" t="s">
        <v>19</v>
      </c>
      <c r="I92" t="s">
        <v>20</v>
      </c>
    </row>
    <row r="93" spans="1:12" ht="12.5" x14ac:dyDescent="0.25">
      <c r="A93" s="8" t="s">
        <v>25</v>
      </c>
      <c r="B93" s="8" t="s">
        <v>26</v>
      </c>
      <c r="C93" s="8" t="s">
        <v>27</v>
      </c>
      <c r="D93" s="8" t="s">
        <v>28</v>
      </c>
      <c r="E93" s="8" t="s">
        <v>29</v>
      </c>
      <c r="H93" s="8" t="s">
        <v>25</v>
      </c>
      <c r="I93" s="8" t="s">
        <v>26</v>
      </c>
      <c r="J93" s="8" t="s">
        <v>30</v>
      </c>
      <c r="K93" s="8" t="s">
        <v>28</v>
      </c>
      <c r="L93" s="8" t="s">
        <v>29</v>
      </c>
    </row>
    <row r="94" spans="1:12" ht="12.5" x14ac:dyDescent="0.25">
      <c r="A94" s="9" t="s">
        <v>195</v>
      </c>
      <c r="B94" s="9">
        <v>1</v>
      </c>
      <c r="C94" s="9">
        <v>21.8</v>
      </c>
      <c r="D94" s="9">
        <f>C94</f>
        <v>21.8</v>
      </c>
      <c r="E94" s="9">
        <f t="shared" ref="E94:E105" si="15">B94*D94</f>
        <v>21.8</v>
      </c>
      <c r="H94" s="10" t="s">
        <v>196</v>
      </c>
      <c r="I94" s="10">
        <v>2</v>
      </c>
      <c r="J94" s="10">
        <v>19.5</v>
      </c>
      <c r="K94" s="10">
        <f>J94</f>
        <v>19.5</v>
      </c>
      <c r="L94" s="10">
        <f t="shared" ref="L94:L101" si="16">I94*K94</f>
        <v>39</v>
      </c>
    </row>
    <row r="95" spans="1:12" ht="12.5" x14ac:dyDescent="0.25">
      <c r="A95" s="10" t="s">
        <v>197</v>
      </c>
      <c r="B95" s="10">
        <v>4</v>
      </c>
      <c r="C95" s="10">
        <f>1.8+3.7-5</f>
        <v>0.5</v>
      </c>
      <c r="D95" s="10">
        <f>C95+SUM($C$94:C94)</f>
        <v>22.3</v>
      </c>
      <c r="E95" s="10">
        <f t="shared" si="15"/>
        <v>89.2</v>
      </c>
      <c r="H95" s="9" t="s">
        <v>198</v>
      </c>
      <c r="I95" s="9">
        <v>1</v>
      </c>
      <c r="J95" s="9">
        <v>0.2</v>
      </c>
      <c r="K95" s="9">
        <f>J95+SUM($J$94:J94)</f>
        <v>19.7</v>
      </c>
      <c r="L95" s="9">
        <f t="shared" si="16"/>
        <v>19.7</v>
      </c>
    </row>
    <row r="96" spans="1:12" ht="12.5" x14ac:dyDescent="0.25">
      <c r="A96" s="9" t="s">
        <v>199</v>
      </c>
      <c r="B96" s="9">
        <v>4</v>
      </c>
      <c r="C96" s="9">
        <f>3-3.7</f>
        <v>-0.70000000000000018</v>
      </c>
      <c r="D96" s="9">
        <f>C96+SUM($C$94:C95)</f>
        <v>21.6</v>
      </c>
      <c r="E96" s="9">
        <f t="shared" si="15"/>
        <v>86.4</v>
      </c>
      <c r="H96" s="10" t="s">
        <v>200</v>
      </c>
      <c r="I96" s="10">
        <v>2</v>
      </c>
      <c r="J96" s="10">
        <v>-1.7</v>
      </c>
      <c r="K96" s="10">
        <f>J96+SUM($J$94:J95)</f>
        <v>18</v>
      </c>
      <c r="L96" s="10">
        <f t="shared" si="16"/>
        <v>36</v>
      </c>
    </row>
    <row r="97" spans="1:14" ht="12.5" x14ac:dyDescent="0.25">
      <c r="A97" s="10" t="s">
        <v>201</v>
      </c>
      <c r="B97" s="10">
        <v>1</v>
      </c>
      <c r="C97" s="10">
        <v>4.2</v>
      </c>
      <c r="D97" s="10">
        <f>C97+SUM($C$94:C96)</f>
        <v>25.8</v>
      </c>
      <c r="E97" s="10">
        <f t="shared" si="15"/>
        <v>25.8</v>
      </c>
      <c r="H97" s="9" t="s">
        <v>202</v>
      </c>
      <c r="I97" s="9">
        <v>2</v>
      </c>
      <c r="J97" s="9">
        <v>8.3000000000000007</v>
      </c>
      <c r="K97" s="9">
        <f>J97+SUM($J$94:J96)</f>
        <v>26.3</v>
      </c>
      <c r="L97" s="9">
        <f t="shared" si="16"/>
        <v>52.6</v>
      </c>
    </row>
    <row r="98" spans="1:14" ht="12.5" x14ac:dyDescent="0.25">
      <c r="A98" s="9" t="s">
        <v>203</v>
      </c>
      <c r="B98" s="9">
        <v>2</v>
      </c>
      <c r="C98" s="9">
        <f>3.3+2.7-4.2</f>
        <v>1.7999999999999998</v>
      </c>
      <c r="D98" s="9">
        <f>C98+SUM($C$94:C97)</f>
        <v>27.6</v>
      </c>
      <c r="E98" s="9">
        <f t="shared" si="15"/>
        <v>55.2</v>
      </c>
      <c r="H98" s="10" t="s">
        <v>204</v>
      </c>
      <c r="I98" s="10">
        <v>4</v>
      </c>
      <c r="J98" s="10">
        <v>1</v>
      </c>
      <c r="K98" s="10">
        <f>J98+SUM($J$94:J97)</f>
        <v>27.3</v>
      </c>
      <c r="L98" s="10">
        <f t="shared" si="16"/>
        <v>109.2</v>
      </c>
    </row>
    <row r="99" spans="1:14" ht="12.5" x14ac:dyDescent="0.25">
      <c r="A99" s="10" t="s">
        <v>205</v>
      </c>
      <c r="B99" s="10">
        <v>2</v>
      </c>
      <c r="C99" s="10">
        <v>1.6</v>
      </c>
      <c r="D99" s="10">
        <f>C99+SUM($C$94:C98)</f>
        <v>29.200000000000003</v>
      </c>
      <c r="E99" s="10">
        <f t="shared" si="15"/>
        <v>58.400000000000006</v>
      </c>
      <c r="H99" s="9" t="s">
        <v>206</v>
      </c>
      <c r="I99" s="9">
        <v>4</v>
      </c>
      <c r="J99" s="9">
        <f>2+3.2+1+2-1</f>
        <v>7.1999999999999993</v>
      </c>
      <c r="K99" s="9">
        <f>J99+SUM($J$94:J98)</f>
        <v>34.5</v>
      </c>
      <c r="L99" s="9">
        <f t="shared" si="16"/>
        <v>138</v>
      </c>
    </row>
    <row r="100" spans="1:14" ht="12.5" x14ac:dyDescent="0.25">
      <c r="A100" s="9" t="s">
        <v>207</v>
      </c>
      <c r="B100" s="9">
        <v>2</v>
      </c>
      <c r="C100" s="9">
        <v>4</v>
      </c>
      <c r="D100" s="9">
        <f>C100+SUM($C$94:C99)</f>
        <v>33.200000000000003</v>
      </c>
      <c r="E100" s="9">
        <f t="shared" si="15"/>
        <v>66.400000000000006</v>
      </c>
      <c r="G100" t="s">
        <v>186</v>
      </c>
      <c r="H100" s="10" t="s">
        <v>208</v>
      </c>
      <c r="I100" s="10">
        <v>2</v>
      </c>
      <c r="J100" s="10">
        <v>0.5</v>
      </c>
      <c r="K100" s="10">
        <f>J100+SUM($J$94:J99)</f>
        <v>35</v>
      </c>
      <c r="L100" s="10">
        <f t="shared" si="16"/>
        <v>70</v>
      </c>
    </row>
    <row r="101" spans="1:14" ht="12.5" x14ac:dyDescent="0.25">
      <c r="A101" s="10" t="s">
        <v>209</v>
      </c>
      <c r="B101" s="10">
        <v>2</v>
      </c>
      <c r="C101" s="10">
        <v>-0.3</v>
      </c>
      <c r="D101" s="10">
        <f>C101+SUM($C$94:C100)</f>
        <v>32.900000000000006</v>
      </c>
      <c r="E101" s="10">
        <f t="shared" si="15"/>
        <v>65.800000000000011</v>
      </c>
      <c r="H101" s="9" t="s">
        <v>210</v>
      </c>
      <c r="I101" s="9">
        <v>4</v>
      </c>
      <c r="J101" s="9">
        <v>1.5</v>
      </c>
      <c r="K101" s="9">
        <f>J101+SUM($J$94:J100)</f>
        <v>36.5</v>
      </c>
      <c r="L101" s="9">
        <f t="shared" si="16"/>
        <v>146</v>
      </c>
    </row>
    <row r="102" spans="1:14" ht="12.5" x14ac:dyDescent="0.25">
      <c r="A102" s="9" t="s">
        <v>211</v>
      </c>
      <c r="B102" s="9">
        <v>2</v>
      </c>
      <c r="C102" s="9">
        <v>2.1</v>
      </c>
      <c r="D102" s="9">
        <f>C102+SUM($C$94:C101)</f>
        <v>35.000000000000007</v>
      </c>
      <c r="E102" s="9">
        <f t="shared" si="15"/>
        <v>70.000000000000014</v>
      </c>
      <c r="H102" s="24" t="s">
        <v>85</v>
      </c>
      <c r="I102" s="9">
        <v>3</v>
      </c>
    </row>
    <row r="103" spans="1:14" ht="12.5" x14ac:dyDescent="0.25">
      <c r="A103" s="10" t="s">
        <v>212</v>
      </c>
      <c r="B103" s="10">
        <v>4</v>
      </c>
      <c r="C103" s="10">
        <v>4.9000000000000004</v>
      </c>
      <c r="D103" s="10">
        <f>C103+SUM($C$94:C102)</f>
        <v>39.900000000000006</v>
      </c>
      <c r="E103" s="10">
        <f t="shared" si="15"/>
        <v>159.60000000000002</v>
      </c>
    </row>
    <row r="104" spans="1:14" ht="12.5" x14ac:dyDescent="0.25">
      <c r="A104" s="9" t="s">
        <v>213</v>
      </c>
      <c r="B104" s="9">
        <v>1</v>
      </c>
      <c r="C104" s="9">
        <v>4.2</v>
      </c>
      <c r="D104" s="9">
        <f>C104+SUM($C$94:C103)</f>
        <v>44.100000000000009</v>
      </c>
      <c r="E104" s="9">
        <f t="shared" si="15"/>
        <v>44.100000000000009</v>
      </c>
      <c r="G104" t="s">
        <v>94</v>
      </c>
      <c r="I104" t="s">
        <v>192</v>
      </c>
      <c r="J104" t="s">
        <v>193</v>
      </c>
    </row>
    <row r="105" spans="1:14" ht="12.5" x14ac:dyDescent="0.25">
      <c r="A105" s="10" t="s">
        <v>214</v>
      </c>
      <c r="B105" s="10">
        <v>4</v>
      </c>
      <c r="C105" s="10">
        <f>7.1-2</f>
        <v>5.0999999999999996</v>
      </c>
      <c r="D105" s="10">
        <f>C105+SUM($C$94:C104)</f>
        <v>49.20000000000001</v>
      </c>
      <c r="E105" s="10">
        <f t="shared" si="15"/>
        <v>196.80000000000004</v>
      </c>
      <c r="G105">
        <f>SUM(E94:E105)+SUM(L94:L101)</f>
        <v>1550.0000000000002</v>
      </c>
      <c r="I105">
        <f>SUM(B95,B96,B98:B103,B105,I94,I96:I99,I101)/2</f>
        <v>22</v>
      </c>
      <c r="J105">
        <f>SUM(B94,B97,B104,I95,I100)</f>
        <v>6</v>
      </c>
    </row>
    <row r="106" spans="1:14" ht="12.75" customHeight="1" x14ac:dyDescent="0.25">
      <c r="A106" s="24" t="s">
        <v>85</v>
      </c>
      <c r="B106" s="9">
        <v>3</v>
      </c>
    </row>
    <row r="110" spans="1:14" ht="12.5" x14ac:dyDescent="0.25">
      <c r="B110" s="13" t="s">
        <v>215</v>
      </c>
      <c r="C110" s="13"/>
      <c r="J110" s="14" t="s">
        <v>216</v>
      </c>
      <c r="M110" t="s">
        <v>217</v>
      </c>
      <c r="N110">
        <f>SUM(L111:L115)</f>
        <v>84</v>
      </c>
    </row>
    <row r="111" spans="1:14" ht="12.5" x14ac:dyDescent="0.25">
      <c r="C111" s="15" t="s">
        <v>10</v>
      </c>
      <c r="G111" t="s">
        <v>217</v>
      </c>
      <c r="I111">
        <f>SUM(E112:E149)</f>
        <v>364.6</v>
      </c>
      <c r="K111" s="16" t="s">
        <v>10</v>
      </c>
      <c r="L111" s="16">
        <v>18</v>
      </c>
    </row>
    <row r="112" spans="1:14" ht="12.5" x14ac:dyDescent="0.25">
      <c r="C112" s="17"/>
      <c r="D112" s="17" t="s">
        <v>218</v>
      </c>
      <c r="E112" s="17">
        <v>16.5</v>
      </c>
      <c r="G112">
        <f>SUM(E112:E149)</f>
        <v>364.6</v>
      </c>
      <c r="K112" s="18" t="s">
        <v>219</v>
      </c>
      <c r="L112" s="18">
        <v>18</v>
      </c>
    </row>
    <row r="113" spans="3:14" ht="12.5" x14ac:dyDescent="0.25">
      <c r="C113" s="19"/>
      <c r="D113" s="19" t="s">
        <v>220</v>
      </c>
      <c r="E113" s="19">
        <v>15</v>
      </c>
      <c r="K113" s="16" t="s">
        <v>221</v>
      </c>
      <c r="L113" s="16">
        <v>18</v>
      </c>
    </row>
    <row r="114" spans="3:14" ht="12.5" x14ac:dyDescent="0.25">
      <c r="C114" s="17"/>
      <c r="D114" s="17" t="s">
        <v>222</v>
      </c>
      <c r="E114" s="17">
        <v>15</v>
      </c>
      <c r="K114" s="18" t="s">
        <v>223</v>
      </c>
      <c r="L114" s="18">
        <v>6</v>
      </c>
    </row>
    <row r="115" spans="3:14" ht="12.5" x14ac:dyDescent="0.25">
      <c r="C115" s="19"/>
      <c r="D115" s="19" t="s">
        <v>224</v>
      </c>
      <c r="E115" s="19">
        <v>16.5</v>
      </c>
      <c r="K115" s="16" t="s">
        <v>225</v>
      </c>
      <c r="L115" s="16">
        <v>24</v>
      </c>
    </row>
    <row r="116" spans="3:14" ht="12.5" x14ac:dyDescent="0.25">
      <c r="C116" s="17"/>
      <c r="D116" s="17" t="s">
        <v>226</v>
      </c>
      <c r="E116" s="17">
        <v>10.4</v>
      </c>
    </row>
    <row r="117" spans="3:14" ht="12.5" x14ac:dyDescent="0.25">
      <c r="J117" t="s">
        <v>227</v>
      </c>
      <c r="M117" t="s">
        <v>217</v>
      </c>
      <c r="N117">
        <f>SUM(M120:M143)</f>
        <v>104.30000000000001</v>
      </c>
    </row>
    <row r="118" spans="3:14" ht="12.5" x14ac:dyDescent="0.25">
      <c r="C118" s="15" t="s">
        <v>228</v>
      </c>
      <c r="K118" t="s">
        <v>10</v>
      </c>
    </row>
    <row r="119" spans="3:14" ht="12.5" x14ac:dyDescent="0.25">
      <c r="C119" s="17"/>
      <c r="D119" s="17" t="s">
        <v>218</v>
      </c>
      <c r="E119" s="17">
        <v>17</v>
      </c>
      <c r="K119" s="15" t="s">
        <v>219</v>
      </c>
    </row>
    <row r="120" spans="3:14" ht="12.5" x14ac:dyDescent="0.25">
      <c r="C120" s="19"/>
      <c r="D120" s="19" t="s">
        <v>220</v>
      </c>
      <c r="E120" s="19">
        <v>17</v>
      </c>
      <c r="K120" s="17"/>
      <c r="L120" s="17" t="s">
        <v>229</v>
      </c>
      <c r="M120" s="17">
        <v>2.5</v>
      </c>
    </row>
    <row r="121" spans="3:14" ht="12.5" x14ac:dyDescent="0.25">
      <c r="C121" s="17"/>
      <c r="D121" s="17" t="s">
        <v>222</v>
      </c>
      <c r="E121" s="17">
        <v>17</v>
      </c>
      <c r="K121" s="19"/>
      <c r="L121" s="19" t="s">
        <v>230</v>
      </c>
      <c r="M121" s="19">
        <v>2.5</v>
      </c>
    </row>
    <row r="122" spans="3:14" ht="12.5" x14ac:dyDescent="0.25">
      <c r="C122" s="19"/>
      <c r="D122" s="19" t="s">
        <v>224</v>
      </c>
      <c r="E122" s="19">
        <v>17</v>
      </c>
      <c r="K122" s="17"/>
      <c r="L122" s="17" t="s">
        <v>231</v>
      </c>
      <c r="M122" s="17">
        <v>2</v>
      </c>
    </row>
    <row r="123" spans="3:14" ht="12.5" x14ac:dyDescent="0.25">
      <c r="C123" s="17"/>
      <c r="D123" s="17" t="s">
        <v>226</v>
      </c>
      <c r="E123" s="17">
        <v>10.4</v>
      </c>
      <c r="K123" s="19"/>
      <c r="L123" s="19" t="s">
        <v>232</v>
      </c>
      <c r="M123" s="19">
        <v>2.5</v>
      </c>
    </row>
    <row r="124" spans="3:14" ht="12.5" x14ac:dyDescent="0.25">
      <c r="K124" s="17"/>
      <c r="L124" s="17" t="s">
        <v>226</v>
      </c>
      <c r="M124" s="17">
        <v>8.6</v>
      </c>
    </row>
    <row r="125" spans="3:14" ht="12.5" x14ac:dyDescent="0.25">
      <c r="K125" s="15" t="s">
        <v>221</v>
      </c>
    </row>
    <row r="126" spans="3:14" ht="12.5" x14ac:dyDescent="0.25">
      <c r="C126" s="15" t="s">
        <v>233</v>
      </c>
      <c r="K126" s="17"/>
      <c r="L126" s="17" t="s">
        <v>229</v>
      </c>
      <c r="M126" s="17">
        <v>2.5</v>
      </c>
    </row>
    <row r="127" spans="3:14" ht="12.5" x14ac:dyDescent="0.25">
      <c r="C127" s="17"/>
      <c r="D127" s="17" t="s">
        <v>218</v>
      </c>
      <c r="E127" s="17">
        <v>17</v>
      </c>
      <c r="K127" s="19"/>
      <c r="L127" s="19" t="s">
        <v>230</v>
      </c>
      <c r="M127" s="19">
        <v>2.5</v>
      </c>
    </row>
    <row r="128" spans="3:14" ht="12.5" x14ac:dyDescent="0.25">
      <c r="C128" s="19"/>
      <c r="D128" s="19" t="s">
        <v>220</v>
      </c>
      <c r="E128" s="19">
        <v>17</v>
      </c>
      <c r="K128" s="17"/>
      <c r="L128" s="17" t="s">
        <v>231</v>
      </c>
      <c r="M128" s="17">
        <v>2.5</v>
      </c>
    </row>
    <row r="129" spans="3:13" ht="12.5" x14ac:dyDescent="0.25">
      <c r="C129" s="17"/>
      <c r="D129" s="17" t="s">
        <v>222</v>
      </c>
      <c r="E129" s="17">
        <v>17</v>
      </c>
      <c r="K129" s="19"/>
      <c r="L129" s="19" t="s">
        <v>232</v>
      </c>
      <c r="M129" s="19">
        <v>2.5</v>
      </c>
    </row>
    <row r="130" spans="3:13" ht="12.5" x14ac:dyDescent="0.25">
      <c r="C130" s="19"/>
      <c r="D130" s="19" t="s">
        <v>224</v>
      </c>
      <c r="E130" s="19">
        <v>17</v>
      </c>
      <c r="K130" s="17"/>
      <c r="L130" s="17" t="s">
        <v>226</v>
      </c>
      <c r="M130" s="17">
        <v>8.6</v>
      </c>
    </row>
    <row r="131" spans="3:13" ht="12.5" x14ac:dyDescent="0.25">
      <c r="C131" s="17"/>
      <c r="D131" s="17" t="s">
        <v>226</v>
      </c>
      <c r="E131" s="17">
        <v>10.4</v>
      </c>
      <c r="K131" s="15" t="s">
        <v>223</v>
      </c>
    </row>
    <row r="132" spans="3:13" ht="12.5" x14ac:dyDescent="0.25">
      <c r="K132" s="17"/>
      <c r="L132" s="17" t="s">
        <v>229</v>
      </c>
      <c r="M132" s="17">
        <v>2.7</v>
      </c>
    </row>
    <row r="133" spans="3:13" ht="12.5" x14ac:dyDescent="0.25">
      <c r="K133" s="19"/>
      <c r="L133" s="19" t="s">
        <v>230</v>
      </c>
      <c r="M133" s="19">
        <v>2.8</v>
      </c>
    </row>
    <row r="134" spans="3:13" ht="12.5" x14ac:dyDescent="0.25">
      <c r="C134" s="15" t="s">
        <v>234</v>
      </c>
      <c r="K134" s="17"/>
      <c r="L134" s="17" t="s">
        <v>231</v>
      </c>
      <c r="M134" s="17">
        <v>2.7</v>
      </c>
    </row>
    <row r="135" spans="3:13" ht="12.5" x14ac:dyDescent="0.25">
      <c r="C135" s="17"/>
      <c r="D135" s="17" t="s">
        <v>218</v>
      </c>
      <c r="E135" s="17">
        <v>17</v>
      </c>
      <c r="K135" s="19"/>
      <c r="L135" s="19" t="s">
        <v>232</v>
      </c>
      <c r="M135" s="19">
        <v>2.7</v>
      </c>
    </row>
    <row r="136" spans="3:13" ht="12.5" x14ac:dyDescent="0.25">
      <c r="C136" s="19"/>
      <c r="D136" s="19" t="s">
        <v>220</v>
      </c>
      <c r="E136" s="19">
        <v>17</v>
      </c>
      <c r="K136" s="17"/>
      <c r="L136" s="17" t="s">
        <v>226</v>
      </c>
      <c r="M136" s="17">
        <v>19.7</v>
      </c>
    </row>
    <row r="137" spans="3:13" ht="12.5" x14ac:dyDescent="0.25">
      <c r="C137" s="17"/>
      <c r="D137" s="17" t="s">
        <v>222</v>
      </c>
      <c r="E137" s="17">
        <v>17</v>
      </c>
      <c r="K137" s="15" t="s">
        <v>225</v>
      </c>
    </row>
    <row r="138" spans="3:13" ht="12.5" x14ac:dyDescent="0.25">
      <c r="C138" s="19"/>
      <c r="D138" s="19" t="s">
        <v>224</v>
      </c>
      <c r="E138" s="19">
        <v>17</v>
      </c>
      <c r="K138" s="17"/>
      <c r="L138" s="17" t="s">
        <v>229</v>
      </c>
      <c r="M138" s="17">
        <v>5.2</v>
      </c>
    </row>
    <row r="139" spans="3:13" ht="12.5" x14ac:dyDescent="0.25">
      <c r="C139" s="17"/>
      <c r="D139" s="17" t="s">
        <v>226</v>
      </c>
      <c r="E139" s="17">
        <v>10.4</v>
      </c>
      <c r="K139" s="19"/>
      <c r="L139" s="19" t="s">
        <v>230</v>
      </c>
      <c r="M139" s="19">
        <v>7.2</v>
      </c>
    </row>
    <row r="140" spans="3:13" ht="12.5" x14ac:dyDescent="0.25">
      <c r="K140" s="17"/>
      <c r="L140" s="17" t="s">
        <v>231</v>
      </c>
      <c r="M140" s="17">
        <v>4.5</v>
      </c>
    </row>
    <row r="141" spans="3:13" ht="12.5" x14ac:dyDescent="0.25">
      <c r="K141" s="19"/>
      <c r="L141" s="19" t="s">
        <v>232</v>
      </c>
      <c r="M141" s="19">
        <v>1.5</v>
      </c>
    </row>
    <row r="142" spans="3:13" ht="12.5" x14ac:dyDescent="0.25">
      <c r="K142" s="17"/>
      <c r="L142" s="17" t="s">
        <v>235</v>
      </c>
      <c r="M142" s="17">
        <v>2.2000000000000002</v>
      </c>
    </row>
    <row r="143" spans="3:13" ht="12.5" x14ac:dyDescent="0.25">
      <c r="C143" s="15" t="s">
        <v>236</v>
      </c>
      <c r="K143" s="19"/>
      <c r="L143" s="19" t="s">
        <v>226</v>
      </c>
      <c r="M143" s="19">
        <v>16.399999999999999</v>
      </c>
    </row>
    <row r="144" spans="3:13" ht="12.5" x14ac:dyDescent="0.25">
      <c r="C144" s="17"/>
      <c r="D144" s="17" t="s">
        <v>218</v>
      </c>
      <c r="E144" s="17">
        <v>17</v>
      </c>
    </row>
    <row r="145" spans="3:5" ht="12.5" x14ac:dyDescent="0.25">
      <c r="C145" s="19"/>
      <c r="D145" s="19" t="s">
        <v>220</v>
      </c>
      <c r="E145" s="19">
        <v>2</v>
      </c>
    </row>
    <row r="146" spans="3:5" ht="12.5" x14ac:dyDescent="0.25">
      <c r="C146" s="17"/>
      <c r="D146" s="17" t="s">
        <v>222</v>
      </c>
      <c r="E146" s="17">
        <v>6</v>
      </c>
    </row>
    <row r="147" spans="3:5" ht="12.5" x14ac:dyDescent="0.25">
      <c r="C147" s="19"/>
      <c r="D147" s="19" t="s">
        <v>224</v>
      </c>
      <c r="E147" s="19">
        <v>6</v>
      </c>
    </row>
    <row r="148" spans="3:5" ht="12.5" x14ac:dyDescent="0.25">
      <c r="C148" s="17"/>
      <c r="D148" s="17" t="s">
        <v>237</v>
      </c>
      <c r="E148" s="17">
        <v>17</v>
      </c>
    </row>
    <row r="149" spans="3:5" ht="12.5" x14ac:dyDescent="0.25">
      <c r="C149" s="19"/>
      <c r="D149" s="19" t="s">
        <v>226</v>
      </c>
      <c r="E149" s="19">
        <v>8</v>
      </c>
    </row>
  </sheetData>
  <hyperlinks>
    <hyperlink ref="X19" r:id="rId1" xr:uid="{00000000-0004-0000-0000-00000C000000}"/>
    <hyperlink ref="X20" r:id="rId2" xr:uid="{00000000-0004-0000-0000-00000D000000}"/>
    <hyperlink ref="X21" r:id="rId3" xr:uid="{00000000-0004-0000-0000-00000E000000}"/>
    <hyperlink ref="X9" r:id="rId4" xr:uid="{DE73441E-FF01-4D4F-B1A7-1BDB05CB433F}"/>
    <hyperlink ref="X12" r:id="rId5" xr:uid="{530C7EF6-9975-4FA2-9BAA-0E7918777AAA}"/>
    <hyperlink ref="X13" r:id="rId6" xr:uid="{3FA5F4CA-E594-46DC-BB68-F2617392A1F3}"/>
    <hyperlink ref="X11" r:id="rId7" xr:uid="{C62FE428-329F-47E7-82E2-96A501780BBC}"/>
    <hyperlink ref="X14" r:id="rId8" xr:uid="{F06F5EF4-026F-4AF7-A2E0-1391F18CA953}"/>
    <hyperlink ref="X15" r:id="rId9" location="open-modal-shipping" xr:uid="{79BC9E8D-2AD2-4734-BACF-F601B6D38B6F}"/>
    <hyperlink ref="X16" r:id="rId10" xr:uid="{705DB993-EEDA-4BE1-B54A-E75E01AA1138}"/>
    <hyperlink ref="X10" r:id="rId11" xr:uid="{A1734EC9-1CF5-4C5A-9714-7FEB037A1CD4}"/>
    <hyperlink ref="X22" r:id="rId12" xr:uid="{C2DF14A5-A1BB-2A48-B01E-86A49DBC0AC5}"/>
    <hyperlink ref="X23" r:id="rId13" xr:uid="{DC0450C3-F8FE-4B4C-8C6A-0462C1BF622E}"/>
    <hyperlink ref="X18" r:id="rId14" xr:uid="{22948912-710E-4ED9-819D-4B7987116706}"/>
    <hyperlink ref="X17" r:id="rId15" xr:uid="{56FBC8B4-CCA9-4E36-8E0F-C6ACEC3AB4FA}"/>
    <hyperlink ref="X43" r:id="rId16" xr:uid="{DF394FBC-96EA-4DF3-BAA3-65EE0F763CE5}"/>
    <hyperlink ref="X44" r:id="rId17" xr:uid="{75A34588-4A1A-4C34-A514-76839934341B}"/>
    <hyperlink ref="X45" r:id="rId18" xr:uid="{44A1079C-AA3E-4ACC-92CD-70F92CA4DC71}"/>
    <hyperlink ref="X34" r:id="rId19" xr:uid="{CEAAB074-E00D-4E23-B504-43CFA4223F0D}"/>
    <hyperlink ref="X37" r:id="rId20" xr:uid="{6EAD1A12-56EC-410F-BB87-9E8FC85DAC27}"/>
    <hyperlink ref="X38" r:id="rId21" xr:uid="{85AA2A3B-1BE4-411A-9A9D-504D61261086}"/>
    <hyperlink ref="X36" r:id="rId22" xr:uid="{D0D77BD5-A17F-49B2-BC06-7CAE062E278E}"/>
    <hyperlink ref="X39" r:id="rId23" xr:uid="{E2B7C94A-3704-4A5F-A2A0-1E480BC49DCE}"/>
    <hyperlink ref="X40" r:id="rId24" location="open-modal-shipping" xr:uid="{1A1117B7-63EF-4C8D-A186-58FC0DE17AEA}"/>
    <hyperlink ref="X41" r:id="rId25" xr:uid="{9FEF28DC-387A-4A8D-BDDF-597A228A108F}"/>
    <hyperlink ref="X35" r:id="rId26" xr:uid="{E54749DC-F1F8-44E5-B61A-FFCE1D14B30D}"/>
    <hyperlink ref="X46" r:id="rId27" xr:uid="{13305BAD-84CE-4DFD-8F01-3A3CE50FC9B9}"/>
    <hyperlink ref="X42" r:id="rId28" xr:uid="{11A84694-4F45-4875-A3D0-DCBD7180457E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9"/>
  <headerFooter>
    <oddHeader>&amp;C&amp;A</oddHeader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CEC6A004D22D44A0D74212E096FCAB" ma:contentTypeVersion="10" ma:contentTypeDescription="Create a new document." ma:contentTypeScope="" ma:versionID="38e51ec92d9f07acc4562e8eec702277">
  <xsd:schema xmlns:xsd="http://www.w3.org/2001/XMLSchema" xmlns:xs="http://www.w3.org/2001/XMLSchema" xmlns:p="http://schemas.microsoft.com/office/2006/metadata/properties" xmlns:ns2="9945f936-e182-4bef-a305-2ed4cf99cea0" xmlns:ns3="2be84c92-b2cd-4062-8111-412f1a088f5a" targetNamespace="http://schemas.microsoft.com/office/2006/metadata/properties" ma:root="true" ma:fieldsID="5c23f87445d29e7f589169e32ec3dfd2" ns2:_="" ns3:_="">
    <xsd:import namespace="9945f936-e182-4bef-a305-2ed4cf99cea0"/>
    <xsd:import namespace="2be84c92-b2cd-4062-8111-412f1a088f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45f936-e182-4bef-a305-2ed4cf99ce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5afb659-8ed7-4e2f-828e-d3018318be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84c92-b2cd-4062-8111-412f1a088f5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162c10a-5c53-4195-8c26-2802b8a85cd1}" ma:internalName="TaxCatchAll" ma:showField="CatchAllData" ma:web="2be84c92-b2cd-4062-8111-412f1a088f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45f936-e182-4bef-a305-2ed4cf99cea0">
      <Terms xmlns="http://schemas.microsoft.com/office/infopath/2007/PartnerControls"/>
    </lcf76f155ced4ddcb4097134ff3c332f>
    <TaxCatchAll xmlns="2be84c92-b2cd-4062-8111-412f1a088f5a" xsi:nil="true"/>
  </documentManagement>
</p:properties>
</file>

<file path=customXml/itemProps1.xml><?xml version="1.0" encoding="utf-8"?>
<ds:datastoreItem xmlns:ds="http://schemas.openxmlformats.org/officeDocument/2006/customXml" ds:itemID="{2156FD7E-CB89-4BD6-ACC0-549128CDCA24}"/>
</file>

<file path=customXml/itemProps2.xml><?xml version="1.0" encoding="utf-8"?>
<ds:datastoreItem xmlns:ds="http://schemas.openxmlformats.org/officeDocument/2006/customXml" ds:itemID="{5D1E79A3-7865-475D-AFE3-7BEAAFC54212}"/>
</file>

<file path=customXml/itemProps3.xml><?xml version="1.0" encoding="utf-8"?>
<ds:datastoreItem xmlns:ds="http://schemas.openxmlformats.org/officeDocument/2006/customXml" ds:itemID="{715F596A-8CEF-4FD0-AFF1-4BC405B8CB9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Tanzer Ben</cp:lastModifiedBy>
  <cp:revision>23</cp:revision>
  <dcterms:created xsi:type="dcterms:W3CDTF">2025-10-08T09:15:42Z</dcterms:created>
  <dcterms:modified xsi:type="dcterms:W3CDTF">2025-11-28T11:08:40Z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0x01010070CEC6A004D22D44A0D74212E096FCAB</vt:lpwstr>
  </property>
</Properties>
</file>